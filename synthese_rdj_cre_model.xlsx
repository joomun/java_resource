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P:\Gitrepo\rdj_v2\synthese_src\model_template\"/>
    </mc:Choice>
  </mc:AlternateContent>
  <xr:revisionPtr revIDLastSave="0" documentId="13_ncr:1_{72600620-2B1D-4479-9006-6AE4BF1F3B20}" xr6:coauthVersionLast="47" xr6:coauthVersionMax="47" xr10:uidLastSave="{00000000-0000-0000-0000-000000000000}"/>
  <bookViews>
    <workbookView xWindow="-120" yWindow="-120" windowWidth="29040" windowHeight="15840" activeTab="4" xr2:uid="{FF037391-5DE1-4F26-92AE-8D9AAAB8A420}"/>
  </bookViews>
  <sheets>
    <sheet name="CRE" sheetId="1" r:id="rId1"/>
    <sheet name="CRE_Marche" sheetId="2" r:id="rId2"/>
    <sheet name="CRE_Financement" sheetId="3" r:id="rId3"/>
    <sheet name="CRE_SousTraitance" sheetId="4" r:id="rId4"/>
    <sheet name="Recap_SGO_In-Out" sheetId="5" r:id="rId5"/>
    <sheet name="CRE_CASA" sheetId="6" r:id="rId6"/>
    <sheet name="CRE_Marche_CASA" sheetId="7" r:id="rId7"/>
    <sheet name="CRE_LCL" sheetId="8" r:id="rId8"/>
    <sheet name="CRE_Marche_LCL" sheetId="9" r:id="rId9"/>
    <sheet name="AMI" sheetId="10" r:id="rId10"/>
    <sheet name="Harmony_CRE_ESI" sheetId="11" r:id="rId11"/>
  </sheets>
  <definedNames>
    <definedName name="_xlnm.Print_Area" localSheetId="9">AMI!$A$1:$AB$9</definedName>
    <definedName name="_xlnm.Print_Area" localSheetId="0">CRE!$B$1:$O$43</definedName>
    <definedName name="_xlnm.Print_Area" localSheetId="5">CRE_CASA!$A$1:$N$24</definedName>
    <definedName name="_xlnm.Print_Area" localSheetId="2">CRE_Financement!$B$1:$P$30</definedName>
    <definedName name="_xlnm.Print_Area" localSheetId="7">CRE_LCL!$A$1:$N$19</definedName>
    <definedName name="_xlnm.Print_Area" localSheetId="1">CRE_Marche!$B$1:$P$59</definedName>
    <definedName name="_xlnm.Print_Area" localSheetId="6">CRE_Marche_CASA!$A$1:$O$84</definedName>
    <definedName name="_xlnm.Print_Area" localSheetId="8">CRE_Marche_LCL!$A$1:$O$37</definedName>
    <definedName name="_xlnm.Print_Area" localSheetId="3">CRE_SousTraitance!$B$1:$P$44</definedName>
    <definedName name="_xlnm.Print_Area" localSheetId="10">Harmony_CRE_ESI!$A$1:$P$7</definedName>
    <definedName name="_xlnm.Print_Area" localSheetId="4">'Recap_SGO_In-Out'!$A$1:$K$6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0" l="1"/>
  <c r="C10" i="10"/>
  <c r="E10" i="10"/>
  <c r="F10" i="10"/>
  <c r="G10" i="10"/>
  <c r="H10" i="10"/>
  <c r="I10" i="10"/>
  <c r="J10" i="10"/>
  <c r="K10" i="10"/>
  <c r="L10" i="10"/>
  <c r="N10" i="10"/>
  <c r="O10" i="10"/>
  <c r="P10" i="10"/>
  <c r="Q10" i="10"/>
  <c r="R10" i="10"/>
  <c r="S10" i="10"/>
  <c r="T10" i="10"/>
  <c r="U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J10" i="10"/>
  <c r="AK10" i="10"/>
  <c r="AL10" i="10"/>
  <c r="AM10" i="10"/>
  <c r="AN10" i="10"/>
  <c r="AO10" i="10"/>
  <c r="AP10" i="10"/>
  <c r="AQ10" i="10"/>
  <c r="AR10" i="10"/>
  <c r="AS10" i="10"/>
  <c r="AT10" i="10"/>
  <c r="AU10" i="10"/>
  <c r="AV10" i="10"/>
  <c r="AW10" i="10"/>
  <c r="AX10" i="10"/>
  <c r="AY10" i="10"/>
  <c r="AZ10" i="10"/>
  <c r="BA10" i="10"/>
  <c r="D17" i="1"/>
  <c r="E17" i="1"/>
  <c r="F17" i="1"/>
  <c r="G17" i="1"/>
  <c r="H17" i="1"/>
  <c r="I17" i="1"/>
  <c r="J17" i="1"/>
  <c r="J43" i="1" s="1"/>
  <c r="L17" i="1"/>
  <c r="M17" i="1"/>
  <c r="D40" i="1"/>
  <c r="D43" i="1" s="1"/>
  <c r="E40" i="1"/>
  <c r="F40" i="1"/>
  <c r="G40" i="1"/>
  <c r="H40" i="1"/>
  <c r="H43" i="1" s="1"/>
  <c r="I40" i="1"/>
  <c r="J40" i="1"/>
  <c r="L40" i="1"/>
  <c r="M40" i="1"/>
  <c r="M43" i="1" s="1"/>
  <c r="N5" i="6"/>
  <c r="N6" i="6"/>
  <c r="N7" i="6"/>
  <c r="N8" i="6"/>
  <c r="N9" i="6"/>
  <c r="N10" i="6"/>
  <c r="C12" i="6"/>
  <c r="D12" i="6"/>
  <c r="D24" i="6" s="1"/>
  <c r="E12" i="6"/>
  <c r="F12" i="6"/>
  <c r="G12" i="6"/>
  <c r="H12" i="6"/>
  <c r="H24" i="6" s="1"/>
  <c r="I12" i="6"/>
  <c r="K12" i="6"/>
  <c r="L12" i="6"/>
  <c r="N12" i="6"/>
  <c r="N15" i="6"/>
  <c r="N16" i="6"/>
  <c r="N17" i="6"/>
  <c r="N18" i="6"/>
  <c r="N21" i="6" s="1"/>
  <c r="N19" i="6"/>
  <c r="C21" i="6"/>
  <c r="D21" i="6"/>
  <c r="E21" i="6"/>
  <c r="E24" i="6" s="1"/>
  <c r="F21" i="6"/>
  <c r="G21" i="6"/>
  <c r="H21" i="6"/>
  <c r="I21" i="6"/>
  <c r="I24" i="6" s="1"/>
  <c r="K21" i="6"/>
  <c r="L21" i="6"/>
  <c r="C24" i="6"/>
  <c r="F24" i="6"/>
  <c r="G24" i="6"/>
  <c r="K24" i="6"/>
  <c r="L24" i="6"/>
  <c r="C30" i="3"/>
  <c r="B6" i="5" s="1"/>
  <c r="D30" i="3"/>
  <c r="E30" i="3"/>
  <c r="F30" i="3"/>
  <c r="G30" i="3"/>
  <c r="I30" i="3"/>
  <c r="J30" i="3"/>
  <c r="K30" i="3"/>
  <c r="L30" i="3"/>
  <c r="M30" i="3"/>
  <c r="O30" i="3"/>
  <c r="O5" i="8"/>
  <c r="C7" i="8"/>
  <c r="D7" i="8"/>
  <c r="E7" i="8"/>
  <c r="E16" i="8" s="1"/>
  <c r="F7" i="8"/>
  <c r="G7" i="8"/>
  <c r="H7" i="8"/>
  <c r="I7" i="8"/>
  <c r="I16" i="8" s="1"/>
  <c r="K7" i="8"/>
  <c r="L7" i="8"/>
  <c r="O7" i="8"/>
  <c r="O12" i="8"/>
  <c r="O13" i="8" s="1"/>
  <c r="O16" i="8" s="1"/>
  <c r="C13" i="8"/>
  <c r="D13" i="8"/>
  <c r="E13" i="8"/>
  <c r="F13" i="8"/>
  <c r="F16" i="8" s="1"/>
  <c r="G13" i="8"/>
  <c r="H13" i="8"/>
  <c r="I13" i="8"/>
  <c r="K13" i="8"/>
  <c r="K16" i="8" s="1"/>
  <c r="L13" i="8"/>
  <c r="C16" i="8"/>
  <c r="D16" i="8"/>
  <c r="G16" i="8"/>
  <c r="H16" i="8"/>
  <c r="L16" i="8"/>
  <c r="D91" i="2"/>
  <c r="E91" i="2"/>
  <c r="F91" i="2"/>
  <c r="G91" i="2"/>
  <c r="H91" i="2"/>
  <c r="J91" i="2"/>
  <c r="K91" i="2"/>
  <c r="L91" i="2"/>
  <c r="M91" i="2"/>
  <c r="O91" i="2"/>
  <c r="D170" i="2"/>
  <c r="E170" i="2"/>
  <c r="E173" i="2" s="1"/>
  <c r="F170" i="2"/>
  <c r="G170" i="2"/>
  <c r="H170" i="2"/>
  <c r="J170" i="2"/>
  <c r="J173" i="2" s="1"/>
  <c r="K170" i="2"/>
  <c r="L170" i="2"/>
  <c r="M170" i="2"/>
  <c r="O170" i="2"/>
  <c r="O173" i="2" s="1"/>
  <c r="F173" i="2"/>
  <c r="C31" i="7"/>
  <c r="D31" i="7"/>
  <c r="E31" i="7"/>
  <c r="F31" i="7"/>
  <c r="G31" i="7"/>
  <c r="I31" i="7"/>
  <c r="J31" i="7"/>
  <c r="K31" i="7"/>
  <c r="L31" i="7"/>
  <c r="N31" i="7"/>
  <c r="C56" i="7"/>
  <c r="D56" i="7"/>
  <c r="E56" i="7"/>
  <c r="E59" i="7" s="1"/>
  <c r="F56" i="7"/>
  <c r="F59" i="7" s="1"/>
  <c r="G56" i="7"/>
  <c r="I56" i="7"/>
  <c r="J56" i="7"/>
  <c r="J59" i="7" s="1"/>
  <c r="K56" i="7"/>
  <c r="K59" i="7" s="1"/>
  <c r="L56" i="7"/>
  <c r="N56" i="7"/>
  <c r="C59" i="7"/>
  <c r="D59" i="7"/>
  <c r="G59" i="7"/>
  <c r="I59" i="7"/>
  <c r="L59" i="7"/>
  <c r="N59" i="7"/>
  <c r="C19" i="9"/>
  <c r="D19" i="9"/>
  <c r="E19" i="9"/>
  <c r="F19" i="9"/>
  <c r="G19" i="9"/>
  <c r="I19" i="9"/>
  <c r="J19" i="9"/>
  <c r="K19" i="9"/>
  <c r="L19" i="9"/>
  <c r="N19" i="9"/>
  <c r="C33" i="9"/>
  <c r="C36" i="9" s="1"/>
  <c r="D33" i="9"/>
  <c r="D36" i="9" s="1"/>
  <c r="E33" i="9"/>
  <c r="F33" i="9"/>
  <c r="G33" i="9"/>
  <c r="G36" i="9" s="1"/>
  <c r="I33" i="9"/>
  <c r="I36" i="9" s="1"/>
  <c r="J33" i="9"/>
  <c r="K33" i="9"/>
  <c r="L33" i="9"/>
  <c r="L36" i="9" s="1"/>
  <c r="N33" i="9"/>
  <c r="N36" i="9" s="1"/>
  <c r="E36" i="9"/>
  <c r="F36" i="9"/>
  <c r="J36" i="9"/>
  <c r="K36" i="9"/>
  <c r="C7" i="4"/>
  <c r="C14" i="4"/>
  <c r="D41" i="4"/>
  <c r="E41" i="4"/>
  <c r="F41" i="4"/>
  <c r="J41" i="4"/>
  <c r="K41" i="4"/>
  <c r="L41" i="4"/>
  <c r="O41" i="4"/>
  <c r="C49" i="4"/>
  <c r="D84" i="4"/>
  <c r="E84" i="4"/>
  <c r="E87" i="4" s="1"/>
  <c r="F84" i="4"/>
  <c r="G84" i="4"/>
  <c r="H84" i="4"/>
  <c r="J84" i="4"/>
  <c r="K84" i="4"/>
  <c r="K87" i="4" s="1"/>
  <c r="L84" i="4"/>
  <c r="L87" i="4" s="1"/>
  <c r="M84" i="4"/>
  <c r="O84" i="4"/>
  <c r="D87" i="4"/>
  <c r="B6" i="11"/>
  <c r="C6" i="11"/>
  <c r="D6" i="11"/>
  <c r="E6" i="11"/>
  <c r="F6" i="11"/>
  <c r="G6" i="11"/>
  <c r="I6" i="11"/>
  <c r="J6" i="11"/>
  <c r="K6" i="11"/>
  <c r="L6" i="11"/>
  <c r="M6" i="11"/>
  <c r="O6" i="11"/>
  <c r="D6" i="5"/>
  <c r="J6" i="5"/>
  <c r="J87" i="4" l="1"/>
  <c r="O87" i="4"/>
  <c r="F87" i="4"/>
  <c r="G6" i="5"/>
  <c r="L173" i="2"/>
  <c r="G173" i="2"/>
  <c r="K173" i="2"/>
  <c r="M173" i="2"/>
  <c r="H173" i="2"/>
  <c r="D173" i="2"/>
  <c r="I43" i="1"/>
  <c r="F43" i="1"/>
  <c r="E43" i="1"/>
  <c r="P17" i="1"/>
  <c r="L43" i="1"/>
  <c r="G43" i="1"/>
  <c r="P40" i="1"/>
  <c r="N24" i="6"/>
  <c r="O43" i="1" l="1"/>
</calcChain>
</file>

<file path=xl/sharedStrings.xml><?xml version="1.0" encoding="utf-8"?>
<sst xmlns="http://schemas.openxmlformats.org/spreadsheetml/2006/main" count="1025" uniqueCount="462">
  <si>
    <t>Suivi de Production INTERFACES COMPTABLES 05/09/25</t>
  </si>
  <si>
    <t>RDJ</t>
  </si>
  <si>
    <t xml:space="preserve"> CRACS </t>
  </si>
  <si>
    <t>IMPUTATION</t>
  </si>
  <si>
    <t xml:space="preserve"> Vérification </t>
  </si>
  <si>
    <t>CA-CIB</t>
  </si>
  <si>
    <t>DATE
Reception</t>
  </si>
  <si>
    <t>CRE
lus</t>
  </si>
  <si>
    <t>CRE 
rejetés</t>
  </si>
  <si>
    <t xml:space="preserve"> EE 
 TS </t>
  </si>
  <si>
    <t xml:space="preserve"> EE 
 2 </t>
  </si>
  <si>
    <t xml:space="preserve"> EE A
 BDP </t>
  </si>
  <si>
    <t xml:space="preserve"> EE K
REGLT</t>
  </si>
  <si>
    <t xml:space="preserve"> EE 
TOTAL</t>
  </si>
  <si>
    <t xml:space="preserve">          Commentaires          </t>
  </si>
  <si>
    <t xml:space="preserve">  Mvts  </t>
  </si>
  <si>
    <t>Rejets</t>
  </si>
  <si>
    <t>Oui/Non</t>
  </si>
  <si>
    <t>Mvts - EE TS</t>
  </si>
  <si>
    <t>CACIB - Quotidien - CLR - TRANSFERT CLARENCE</t>
  </si>
  <si>
    <t/>
  </si>
  <si>
    <t>CACIB - Quotidien - CYA - CALYPSO Titres</t>
  </si>
  <si>
    <t>O</t>
  </si>
  <si>
    <t>CACIB - Quotidien - FIA - KFEE</t>
  </si>
  <si>
    <t>CACIB - Quotidien - FSA - 4SIGHT</t>
  </si>
  <si>
    <t>CACIB - Quotidien - GMA - GMI</t>
  </si>
  <si>
    <t>CACIB - Quotidien - MXA - MUREX CDS</t>
  </si>
  <si>
    <t>CACIB - Quotidien - MXH - MUREX CDS MLB</t>
  </si>
  <si>
    <t>CACIB - Quotidien - SMA - SUMMIT</t>
  </si>
  <si>
    <t>CACIB - Quotidien - TCA - CALYPSO Treso Change</t>
  </si>
  <si>
    <t>CACIB - Quotidien - XAA - FXA</t>
  </si>
  <si>
    <t>CACIB - Quotidien - XEA - FXE</t>
  </si>
  <si>
    <t>CACIB - Quotidien - XMA - FXM</t>
  </si>
  <si>
    <t>TOTAL:</t>
  </si>
  <si>
    <t>CACIB - Mensuel - CYB - CALYPSO Titres</t>
  </si>
  <si>
    <t>CACIB - Mensuel - FIB - KFEE</t>
  </si>
  <si>
    <t>CACIB - Mensuel - FSB - 4SIGHT</t>
  </si>
  <si>
    <t>CACIB - Mensuel - GMB - GMI</t>
  </si>
  <si>
    <t>CACIB - Mensuel - MXB - MUREX CDS MTM</t>
  </si>
  <si>
    <t>CACIB - Mensuel - MXF - MUREX CDS COURUS</t>
  </si>
  <si>
    <t>CACIB - Mensuel - MXI - MUREX CDS MTM MLB</t>
  </si>
  <si>
    <t>CACIB - Mensuel - MXM - MUREX CDS MLB</t>
  </si>
  <si>
    <t>CACIB - Mensuel - SMB - SUMMIT</t>
  </si>
  <si>
    <t>CACIB - Mensuel - SMD - SUMMIT - Split1</t>
  </si>
  <si>
    <t>CACIB - Mensuel - SMF - SUMMIT - Split2</t>
  </si>
  <si>
    <t>CACIB - Mensuel - SMH - SUMMIT - Split3</t>
  </si>
  <si>
    <t>CACIB - Mensuel - SMJ - SUMMIT - Split4</t>
  </si>
  <si>
    <t>CACIB - Mensuel - SMR - SUMMIT - Split5</t>
  </si>
  <si>
    <t>CACIB - Mensuel - SMT - SUMMIT - Split6</t>
  </si>
  <si>
    <t>CACIB - Mensuel - SMV - SUMMIT - Split7</t>
  </si>
  <si>
    <t>CACIB - Mensuel - TCB - CALYPSO Treso Change</t>
  </si>
  <si>
    <t>CACIB - Mensuel - XAB - FXA</t>
  </si>
  <si>
    <t>CACIB - Mensuel - XEB - FXE</t>
  </si>
  <si>
    <t>CACIB - Mensuel - XMB - FXM</t>
  </si>
  <si>
    <t>GLOBAL:</t>
  </si>
  <si>
    <t>DATE</t>
  </si>
  <si>
    <t>Mvt RDJ Métropole /
*CRE RDJ CIBLE</t>
  </si>
  <si>
    <t>RDJ Transcodification / *RDJ CIBLE</t>
  </si>
  <si>
    <t>RDJ Transverse</t>
  </si>
  <si>
    <t>Total send 
to PSGL</t>
  </si>
  <si>
    <t>Details to PSGL</t>
  </si>
  <si>
    <t>Reception</t>
  </si>
  <si>
    <t>CRE lus</t>
  </si>
  <si>
    <t>CRE traités (VAC1)</t>
  </si>
  <si>
    <t>GARB</t>
  </si>
  <si>
    <t>Default</t>
  </si>
  <si>
    <t>BGC</t>
  </si>
  <si>
    <t>PSGL (TMPS)</t>
  </si>
  <si>
    <t xml:space="preserve"> </t>
  </si>
  <si>
    <t>CACIB - Quotidien - CYB - CALYPSO Rompus *</t>
  </si>
  <si>
    <t>CACIB - Quotidien - FMA - CAPS</t>
  </si>
  <si>
    <t>CACIB - Quotidien - SFA - SHIFT SF *</t>
  </si>
  <si>
    <t>CACIB - Quotidien - SML - SUMMIT Soulte*</t>
  </si>
  <si>
    <t>CACIB - Quotidien - TCF - CALYPSO Treso Change*</t>
  </si>
  <si>
    <t>CACIB - Quotidien - XOA - CALYPSO option change *</t>
  </si>
  <si>
    <t>CACIB - Quotidien - CTA - TCT *</t>
  </si>
  <si>
    <t>CACIB - Quotidien - TIA - TIR *</t>
  </si>
  <si>
    <t>CACIB - Quotidien - CYD - CALYPSO Titres*</t>
  </si>
  <si>
    <t>CACIB - Quotidien - ODX - SUMMIT</t>
  </si>
  <si>
    <t>CACIB - Quotidien - AXA - APEX Daily</t>
  </si>
  <si>
    <t>CACIB - Quotidien - ASA - APEX Securities Daily</t>
  </si>
  <si>
    <t>CACIB - Quotidien - ASB - APEX Securities Daily MTM</t>
  </si>
  <si>
    <t>CACIB - Quotidien - ASE - APEX Securities Extourne</t>
  </si>
  <si>
    <t>CACIB - Quotidien - FSC - SFCM Daily</t>
  </si>
  <si>
    <t>CACIB - Quotidien - FEA - SCFM Equity Daily</t>
  </si>
  <si>
    <t>CACIB - Quotidien - FEB - SCFM Equity Daily MTM</t>
  </si>
  <si>
    <t>CACIB - Quotidien - FEE - SCFM Equity Extourne</t>
  </si>
  <si>
    <t>CACIB - Quotidien - UBQ - GMI/UBIX</t>
  </si>
  <si>
    <t>CACIB - Quotidien - TI PLUS</t>
  </si>
  <si>
    <t>CACIB - Quotidien - OFA - VISUAL ONE</t>
  </si>
  <si>
    <t>CACIB - Quotidien - PCA - Reeval *</t>
  </si>
  <si>
    <t>CACIB - Quotidien - XMD - FXM</t>
  </si>
  <si>
    <t>CACIB - Quotidien - CBA - NEW CALYPSO Reglement Titres Daily</t>
  </si>
  <si>
    <t>CACIB - Quotidien - PAA - Reglement PACO*</t>
  </si>
  <si>
    <t>CACIB - Quotidien - MGA - MUREX GDM Credit Daily</t>
  </si>
  <si>
    <t>CACIB - Quotidien - MGB - MUREX GDM Daily MTM*</t>
  </si>
  <si>
    <t>CACIB - Quotidien - MGE - MUREX GDM Extourne*</t>
  </si>
  <si>
    <t>CACIB - Quotidien - MCB - MUREX GDM Credit Daily MTM</t>
  </si>
  <si>
    <t>CACIB - Quotidien - MCE - MUREX GDM Credit Extourne</t>
  </si>
  <si>
    <t>CACIB - Quotidien - MSA - MUREX GDM Securities Daily</t>
  </si>
  <si>
    <t>CACIB - Quotidien - MSB - MUREX GDM Securities Daily MTM</t>
  </si>
  <si>
    <t>CACIB - Quotidien - MSE - MUREX GDM Securities Extourne</t>
  </si>
  <si>
    <t>CACIB - Quotidien - MTA - MUREX GDM Taux Daily</t>
  </si>
  <si>
    <t>CACIB - Quotidien - MTB - MUREX GDM Taux Daily MTM</t>
  </si>
  <si>
    <t>CACIB - Quotidien - MTE - MUREX GDM Taux Extourne</t>
  </si>
  <si>
    <t>CACIB - Quotidien - ORA - Orchestrade Marche*</t>
  </si>
  <si>
    <t>CACIB - Quotidien - ORB - Orchestrade Marche Daily MTM*</t>
  </si>
  <si>
    <t>CACIB - Quotidien - ORE - Orchestrade Marche Extourne*</t>
  </si>
  <si>
    <t>CACIB - Quotidien - ORJ - Orchestrade Valo Groupe 1*</t>
  </si>
  <si>
    <t>CACIB - Quotidien - ORO - Extourne Valo Orchestrade Groupe 1*</t>
  </si>
  <si>
    <t>CACIB - Quotidien - ORK - Orchestrade Valo Groupe 2*</t>
  </si>
  <si>
    <t>CACIB - Quotidien - ORP - Extourne Valo Orchestrade Groupe 2*</t>
  </si>
  <si>
    <t>CACIB - Quotidien - ORL - Orchestrade Valo Groupe 3*</t>
  </si>
  <si>
    <t>CACIB - Quotidien - ORQ - Extourne Valo Orchestrade Groupe 3*</t>
  </si>
  <si>
    <t>CACIB - Quotidien - ORM - Orchestrade Valo Groupe 4*</t>
  </si>
  <si>
    <t>CACIB - Quotidien - ORR - Extourne Valo Orchestrade Groupe 4*</t>
  </si>
  <si>
    <t>CACIB - Quotidien - ORN - Orchestrade Valo Groupe 5*</t>
  </si>
  <si>
    <t>CACIB - Quotidien - ORS - Extourne Valo Orchestrade Groupe 5*</t>
  </si>
  <si>
    <t>CACIB - Quotidien - OCA - ORCHESTRADE Credit Daily</t>
  </si>
  <si>
    <t>CACIB - Quotidien - OCB - ORCHESTRADE Credit Daily MTM</t>
  </si>
  <si>
    <t>CACIB - Quotidien - OCE - ORCHESTRADE Credit Extourne</t>
  </si>
  <si>
    <t>CACIB - Quotidien - OSA - ORCHESTRADE Securities Daily</t>
  </si>
  <si>
    <t>CACIB - Quotidien - OSB - ORCHESTRADE Securities Daily MTM</t>
  </si>
  <si>
    <t>CACIB - Quotidien - OSE - ORCHESTRADE Securities Extourne</t>
  </si>
  <si>
    <t>CACIB - Quotidien - OTA - ORCHESTRADE Taux Daily</t>
  </si>
  <si>
    <t>CACIB - Quotidien - OTJ - ORCHESTRADE Taux Daily MTM Early</t>
  </si>
  <si>
    <t>CACIB - Quotidien - OTO - ORCHESTRADE Taux Extourne Early</t>
  </si>
  <si>
    <t>CACIB - Quotidien - OTK - ORCHESTRADE Taux Daily MTM Late</t>
  </si>
  <si>
    <t>CACIB - Quotidien - OTP - ORCHESTRADE Taux Extourne Late</t>
  </si>
  <si>
    <t>CACIB - Quotidien - LSA - LOANSCAPE P&amp;E Daily</t>
  </si>
  <si>
    <t>CACIB - Quotidien - LSB - LOANSCAPE P&amp;E Daily MTM</t>
  </si>
  <si>
    <t>CACIB - Quotidien - LSE - LOANSCAPE P&amp;E Extourne</t>
  </si>
  <si>
    <t>CACIB - Quotidien - SDA - SOPHIS Derivative Daily</t>
  </si>
  <si>
    <t>CACIB - Quotidien - SDB - SOPHIS Derivative Daily MTM</t>
  </si>
  <si>
    <t>CACIB - Quotidien - SDE - SOPHIS Derivative Extourne</t>
  </si>
  <si>
    <t>CACIB - Quotidien - SEA - SOPHIS Equity Daily</t>
  </si>
  <si>
    <t>CACIB - Quotidien - SEB - SOPHIS Equity Daily MTM</t>
  </si>
  <si>
    <t>CACIB - Quotidien - SEE - SOPHIS Equity Extourne</t>
  </si>
  <si>
    <t>CACIB - Quotidien - PBA - Provision Bucket*</t>
  </si>
  <si>
    <t>CACIB - Quotidien - XBA - XBHV*</t>
  </si>
  <si>
    <t>CACIB - Quotidien - BLA - Billing*</t>
  </si>
  <si>
    <t>CACIB - Quotidien - BLC - Billing*</t>
  </si>
  <si>
    <t>CACIB - Quotidien - BLD - Billing*</t>
  </si>
  <si>
    <t>CACIB - Quotidien - FMC - Instant Payment*</t>
  </si>
  <si>
    <t>CACIB - Quotidien - NRA - Instant Payment*</t>
  </si>
  <si>
    <t>CACIB - Mensuel - CYY - CALYPSO Titres Extourne</t>
  </si>
  <si>
    <t>CACIB - Mensuel - RSB - CLIQ</t>
  </si>
  <si>
    <t>CACIB - Mensuel - FIC - KFEE Extourne</t>
  </si>
  <si>
    <t>CACIB - Extourne - SFE - SHIFT SF *</t>
  </si>
  <si>
    <t>CACIB - Mensuel - SMM - SUMMIT Soulte*</t>
  </si>
  <si>
    <t>CACIB - Mensuel - SMN - SUMMIT Soulte Split1*</t>
  </si>
  <si>
    <t>CACIB - Mensuel - SMO - SUMMIT Soulte Split2*</t>
  </si>
  <si>
    <t>CACIB - Mensuel - SMP - SUMMIT Soulte Split3*</t>
  </si>
  <si>
    <t>CACIB - Mensuel - SMQ - SUMMIT Soulte Split4*</t>
  </si>
  <si>
    <t>CACIB - Mensuel - SMC - SUMMIT Extourne</t>
  </si>
  <si>
    <t>CACIB - Mensuel - SME - SUMMIT Extourne - Split1</t>
  </si>
  <si>
    <t>CACIB - Mensuel - SMG - SUMMIT Extourne - Split2</t>
  </si>
  <si>
    <t>CACIB - Mensuel - SMI - SUMMIT Extourne - Split3</t>
  </si>
  <si>
    <t>CACIB - Mensuel - SMK - SUMMIT Extourne - Split4</t>
  </si>
  <si>
    <t>CACIB - Mensuel - SMS - SUMMIT Extourne - Split5</t>
  </si>
  <si>
    <t>CACIB - Mensuel - SMU - SUMMIT Extourne - Split6</t>
  </si>
  <si>
    <t>CACIB - Mensuel - SMW - SUMMIT Extourne - Split7</t>
  </si>
  <si>
    <t>CACIB - Mensuel - TCE - CALYPSO Treso Change Extourne*</t>
  </si>
  <si>
    <t>CACIB - Mensuel - TCI - CALYPSO Treso Change TCI Extourne*</t>
  </si>
  <si>
    <t>CACIB - Mensuel - XOE - CALYPSO Option Change Extourne*</t>
  </si>
  <si>
    <t>CACIB - Mensuel - TCG - CALYPSO Treso Change*</t>
  </si>
  <si>
    <t>CACIB - Mensuel - XOB - CALYPSO option change *</t>
  </si>
  <si>
    <t>CACIB - Mensuel - PCB - Reeval *</t>
  </si>
  <si>
    <t>CACIB - Mensuel - TIB - TIR *</t>
  </si>
  <si>
    <t>CACIB - Remontee Resultats</t>
  </si>
  <si>
    <t>CACIB - Mensuel - CYE - CALYPSO Titres *</t>
  </si>
  <si>
    <t>CACIB - Mensuel - CYX - CALYPSO Titres Extourne *</t>
  </si>
  <si>
    <t>CACIB - PRB - Provisionnement mensuel *</t>
  </si>
  <si>
    <t>CACIB - Mensuel - AXB - APEX Monthly</t>
  </si>
  <si>
    <t>CACIB - Mensuel - ASR - APEX Securities</t>
  </si>
  <si>
    <t>CACIB - Mensuel - ASS - APEX Securities Extourne</t>
  </si>
  <si>
    <t>CACIB - Mensuel - FSD - SFCM Monthly</t>
  </si>
  <si>
    <t>CACIB - Mensuel - FER - SCFM Equity</t>
  </si>
  <si>
    <t>CACIB - Mensuel - FES - SCFM Equity Extourne</t>
  </si>
  <si>
    <t>CACIB - Mensuel - UBM - GMI/.UBIX</t>
  </si>
  <si>
    <t>CACIB - Mensuel - OFB - VISUAL ONE</t>
  </si>
  <si>
    <t>CACIB - Mensuel - XME - FXM</t>
  </si>
  <si>
    <t>CACIB - Mensuel - MGG - MUREX GDM Retro*</t>
  </si>
  <si>
    <t>CACIB - Mensuel - MGI - MUREX GDM Retro Extourne*</t>
  </si>
  <si>
    <t>CACIB - Mensuel - MCR - MUREX GDM Credit</t>
  </si>
  <si>
    <t>CACIB - Mensuel - MCS - MUREX GDM Credit Extourne</t>
  </si>
  <si>
    <t>CACIB - Mensuel - MSR - MUREX GDM Securities</t>
  </si>
  <si>
    <t>CACIB - Mensuel - MSS - MUREX GDM Securities Extourne</t>
  </si>
  <si>
    <t>CACIB - Mensuel - MTR - MUREX GDM Taux</t>
  </si>
  <si>
    <t>CACIB - Mensuel - MTS - MUREX GDM Taux Extourne</t>
  </si>
  <si>
    <t>CACIB - Mensuel - ORG - Orchestrade Marche Retro*</t>
  </si>
  <si>
    <t>CACIB - Mensuel - ORI - Orchestrade Marche Retro Extourne*</t>
  </si>
  <si>
    <t>CACIB - Mensuel - OCR - ORCHESTRADE Credit</t>
  </si>
  <si>
    <t>CACIB - Mensuel - OCS - ORCHESTRADE Credit Extourne</t>
  </si>
  <si>
    <t>CACIB - Mensuel - OSR - ORCHESTRADE Securities</t>
  </si>
  <si>
    <t>CACIB - Mensuel - OSS - ORCHESTRADE Securities Extourne</t>
  </si>
  <si>
    <t>CACIB - Mensuel - OTR - ORCHESTRADE Taux Early</t>
  </si>
  <si>
    <t>CACIB - Mensuel - OTS - ORCHESTRADE Taux Extourne Early</t>
  </si>
  <si>
    <t>CACIB - Mensuel - OTT - ORCHESTRADE Taux Late</t>
  </si>
  <si>
    <t>CACIB - Mensuel - OTU - ORCHESTRADE Taux Extourne Late</t>
  </si>
  <si>
    <t>CACIB - Mensuel - SDR - SOPHIS Derivative</t>
  </si>
  <si>
    <t>CACIB - Mensuel - SDS - SOPHIS Derivative Extourne</t>
  </si>
  <si>
    <t>CACIB - Mensuel - SER - SOPHIS Equity</t>
  </si>
  <si>
    <t>CACIB - Mensuel - SES - SOPHIS Equity Extourne</t>
  </si>
  <si>
    <t>CACIB - Mensuel - LSR - LOANSCAPE P&amp;E</t>
  </si>
  <si>
    <t>CACIB - Mensuel - LSS - LOANSCAPE P&amp;E Extourne</t>
  </si>
  <si>
    <t>SGO/TDC</t>
  </si>
  <si>
    <t>RDJ Transcodification</t>
  </si>
  <si>
    <t>SGOTDC</t>
  </si>
  <si>
    <t>CALCI - Calypso Cibos - TC</t>
  </si>
  <si>
    <t>ACTIC - Actica - AA</t>
  </si>
  <si>
    <t>OPTIM - Optim Fournisseur - KF</t>
  </si>
  <si>
    <t>VBANK - Gestion des part - OF</t>
  </si>
  <si>
    <t>LCS - Credit Documentaire - CD</t>
  </si>
  <si>
    <t>CPS - Remise Documentaire - CL</t>
  </si>
  <si>
    <t>UNILO - Uniloan - XU</t>
  </si>
  <si>
    <t>CALBO - Calypso Bonds - CY</t>
  </si>
  <si>
    <t>CRICP - Centrale Regl Interb - WI</t>
  </si>
  <si>
    <t>CSHPO - Cash Pooling - CP</t>
  </si>
  <si>
    <t>NWEDG - Newedge - FU</t>
  </si>
  <si>
    <t>CALGP - Calypso GPS Liquid - GP</t>
  </si>
  <si>
    <t>FACTU - Viveo SAFIR - VV</t>
  </si>
  <si>
    <t>SACRE - Retrocessions  com - SB</t>
  </si>
  <si>
    <t>LCRPR - LCR Prelevement - LC</t>
  </si>
  <si>
    <t>RGTFO - Reglement Fournisseur - RF</t>
  </si>
  <si>
    <t>MDTCA - Mandat CAISB - MC</t>
  </si>
  <si>
    <t>ACINT - Echelle Int - AC</t>
  </si>
  <si>
    <t>HRACC - SIGAGIP Paye - QI</t>
  </si>
  <si>
    <t>CDTAC - Credit Acquereur - AQ</t>
  </si>
  <si>
    <t>CLIQ - RS</t>
  </si>
  <si>
    <t>REGLT - LY</t>
  </si>
  <si>
    <t>Regularisation SSO - SO</t>
  </si>
  <si>
    <t>Embargo - EM</t>
  </si>
  <si>
    <t>Filiere non classee</t>
  </si>
  <si>
    <t>SST</t>
  </si>
  <si>
    <t>Verification</t>
  </si>
  <si>
    <t>Mvts - CRE</t>
  </si>
  <si>
    <t>GUE Capital Plus Quotidien</t>
  </si>
  <si>
    <t>GUE Calypso Change Quotidien</t>
  </si>
  <si>
    <t>GUE GFEESQ</t>
  </si>
  <si>
    <t>GUE Calypso Quotidien</t>
  </si>
  <si>
    <t>GUE Capital Plus GUECFX</t>
  </si>
  <si>
    <t>GUE OGC-DMA</t>
  </si>
  <si>
    <t>GUE Guernesey</t>
  </si>
  <si>
    <t>GUE Murex Quotidien</t>
  </si>
  <si>
    <t>GUE SUMMIT Quotidien</t>
  </si>
  <si>
    <t>GUE SUMMIT Quotidien Soulte*</t>
  </si>
  <si>
    <t>MXN Sofom Quotidien</t>
  </si>
  <si>
    <t>TAW CALMEQ</t>
  </si>
  <si>
    <t>TAW FFEESQ</t>
  </si>
  <si>
    <t>TAW Fox action Quotidien Calyon</t>
  </si>
  <si>
    <t>TAW Fox montage Quotidien</t>
  </si>
  <si>
    <t>TAW Fox Titres Quotidien</t>
  </si>
  <si>
    <t>TAW GMI Quotidien</t>
  </si>
  <si>
    <t>SST - Quotidien - CYD - CALYPSO Titres*</t>
  </si>
  <si>
    <t>SST - Quotidien - ODX - SUMMIT</t>
  </si>
  <si>
    <t>SST - Quotidien - XMD - FXM</t>
  </si>
  <si>
    <t>SST - Quotidien - SEA - Securitization Daily</t>
  </si>
  <si>
    <t>SST - Quotidien - TCF - CALYPSO TC</t>
  </si>
  <si>
    <t>SST - Quotidien - CBA - NEW CALYPSO Reglement Titres Daily</t>
  </si>
  <si>
    <t>SST - Quotidien - PAA - PACO Reglement Daily</t>
  </si>
  <si>
    <t>SST - Quotidien - OSA - ORCHESTRADE Securities Daily</t>
  </si>
  <si>
    <t>SST - Quotidien - OSB - ORCHESTRADE Securities Daily MTM</t>
  </si>
  <si>
    <t>SST - Quotidien - OSE - ORCHESTRADE Securities Extourne</t>
  </si>
  <si>
    <t>SST - Quotidien - OTA - ORCHESTRADE Taux Daily</t>
  </si>
  <si>
    <t>SST - Quotidien - OTJ - ORCHESTRADE Taux Daily MTM</t>
  </si>
  <si>
    <t>SST - Quotidien - OTO - ORCHESTRADE Taux Extourne</t>
  </si>
  <si>
    <t>SST - Quotidien - SDA - SOPHIS Derivative Daily</t>
  </si>
  <si>
    <t>SST - Quotidien - SDB - SOPHIS Derivative Daily MTM</t>
  </si>
  <si>
    <t>SST - Quotidien - SDE - SOPHIS Derivative Extourne</t>
  </si>
  <si>
    <t>SST - Quotidien - SEA - SOPHIS Equity Daily</t>
  </si>
  <si>
    <t>SST - Quotidien - SEB - SOPHIS Equity Daily MTM</t>
  </si>
  <si>
    <t>SST - Quotidien - SEE - SOPHIS Equity Extourne</t>
  </si>
  <si>
    <t>GUE Capital Plus Mensuel</t>
  </si>
  <si>
    <t>GUE Calypso Change Mensuel</t>
  </si>
  <si>
    <t>GUE GFEESM</t>
  </si>
  <si>
    <t>GUE Calypso Mensuel</t>
  </si>
  <si>
    <t>GUE Fox Montage</t>
  </si>
  <si>
    <t>GUE Murex Mensuel</t>
  </si>
  <si>
    <t>GUE SUMMIT Rotro</t>
  </si>
  <si>
    <t>GUE SUMMIT Mensuel Soulte*</t>
  </si>
  <si>
    <t>GUE Fox repliquant</t>
  </si>
  <si>
    <t>MXN Sofom Mensuel</t>
  </si>
  <si>
    <t>TAW CALMEM</t>
  </si>
  <si>
    <t>TAW FFEESM</t>
  </si>
  <si>
    <t>TAW Fox action Mensuel Calyon</t>
  </si>
  <si>
    <t>TAW Fox montage Mensuel</t>
  </si>
  <si>
    <t>TAW Fox Titres Mensuel</t>
  </si>
  <si>
    <t>TAW GMI Mensuel</t>
  </si>
  <si>
    <t>TAW Remontee Resultats *</t>
  </si>
  <si>
    <t>MXN Sofom Remontee *</t>
  </si>
  <si>
    <t>MXN Sofom Reeval *</t>
  </si>
  <si>
    <t>TAW Reeval *</t>
  </si>
  <si>
    <t>GB001 - Monthly Reeval *</t>
  </si>
  <si>
    <t>MX001 - Monthly Reeval *</t>
  </si>
  <si>
    <t>SST - Monthly Reeval *</t>
  </si>
  <si>
    <t>SST - Remontee Resultats</t>
  </si>
  <si>
    <t>GB001 - Remontee Resultats</t>
  </si>
  <si>
    <t>MXN - Remontee Resultats</t>
  </si>
  <si>
    <t>SST - Mensuel - CYE - CALYPSO Titres*</t>
  </si>
  <si>
    <t>SST - PRB - Provisionnement mensuel*</t>
  </si>
  <si>
    <t>SST - Mensuel - XME - FXM</t>
  </si>
  <si>
    <t>SST - Mensuel - SEB - Securitization Monthly</t>
  </si>
  <si>
    <t>SST - Mensuel - TCG - CALYPSO TC</t>
  </si>
  <si>
    <t>SST - Mensuel - OSR - ORCHESTRADE Securities</t>
  </si>
  <si>
    <t>SST - Mensuel - OSS - ORCHESTRADE Securities Extourne</t>
  </si>
  <si>
    <t>SST - Mensuel - OTR - ORCHESTRADE Taux</t>
  </si>
  <si>
    <t>SST - Mensuel - OTS - ORCHESTRADE Taux Extourne</t>
  </si>
  <si>
    <t>SST - Mensuel - SDR - SOPHIS Derivative</t>
  </si>
  <si>
    <t>SST - Mensuel - SDS - SOPHIS Derivative Extourne</t>
  </si>
  <si>
    <t>SST - Mensuel - SER - SOPHIS Equity</t>
  </si>
  <si>
    <t>SST - Mensuel - SES - SOPHIS Equity Extourne</t>
  </si>
  <si>
    <t>APPLI</t>
  </si>
  <si>
    <t>Envoyé par SGO</t>
  </si>
  <si>
    <t>Reçu par SGO</t>
  </si>
  <si>
    <t>MARQ entrée</t>
  </si>
  <si>
    <t>GENE</t>
  </si>
  <si>
    <t>AUXI</t>
  </si>
  <si>
    <t>MARQ</t>
  </si>
  <si>
    <t>MARQ sortie</t>
  </si>
  <si>
    <t>BDI</t>
  </si>
  <si>
    <t>Toutes Applications confondues</t>
  </si>
  <si>
    <t>Suivi de Production INTERFACES COMPTABLES CASA 05/09/25</t>
  </si>
  <si>
    <t>CASA</t>
  </si>
  <si>
    <t>CASA - Quotidien - TCA - CALYPSO Change</t>
  </si>
  <si>
    <t>CASA - Quotidien - CYA - CALYPSO Titres</t>
  </si>
  <si>
    <t>CASA - Quotidien - GMA - GMI</t>
  </si>
  <si>
    <t>CASA - Quotidien - SMA - SUMMIT</t>
  </si>
  <si>
    <t>CASA - Quotidien - FIB - FEES</t>
  </si>
  <si>
    <t>CASA - Quotidien - XMA - FXM</t>
  </si>
  <si>
    <t>Sep 03 07:24</t>
  </si>
  <si>
    <t>CASA - Quotidien - CYD - CALYPSO Titres</t>
  </si>
  <si>
    <t>CASA - Mensuel - TCB - CALYPSO Change</t>
  </si>
  <si>
    <t>Sep 03 23:16</t>
  </si>
  <si>
    <t>CASA - Mensuel - TCE - CALYPSO Treso Change</t>
  </si>
  <si>
    <t>CASA - Mensuel - SMB - SUMMIT</t>
  </si>
  <si>
    <t>CASA - Mensuel - FIA - FEES</t>
  </si>
  <si>
    <t>CASA - Mensuel - CYB - CALYPSO Titres</t>
  </si>
  <si>
    <t>Sep 03 10:42</t>
  </si>
  <si>
    <t>CASA - Mensuel - CYE - CALYPSO Titres</t>
  </si>
  <si>
    <t>Synthese Harmony RDJ CRE CASA du 05/09/25</t>
  </si>
  <si>
    <t>TCA:3563</t>
  </si>
  <si>
    <t>CYA:1878</t>
  </si>
  <si>
    <t>CASA - Quotidien - XOA - CALYPSO Option change *</t>
  </si>
  <si>
    <t>SMA:231</t>
  </si>
  <si>
    <t>CASA - Quotidien - SML - SUMMIT Soulte*</t>
  </si>
  <si>
    <t>SML:7</t>
  </si>
  <si>
    <t>CASA - Quotidien - CTA - TCT *</t>
  </si>
  <si>
    <t>CTA:16</t>
  </si>
  <si>
    <t>CASA - Quotidien - TIA - TIR *</t>
  </si>
  <si>
    <t>TIA:1732</t>
  </si>
  <si>
    <t>CASA - Quotidien - TCF - Daily</t>
  </si>
  <si>
    <t>TCF:4</t>
  </si>
  <si>
    <t>CYD:14</t>
  </si>
  <si>
    <t>CASA - Quotidien - CBA - NEW CALYPSO Reglement Titres Daily</t>
  </si>
  <si>
    <t>CASA - Quotidien - PAA - PACO Reglement Daily</t>
  </si>
  <si>
    <t>CASA - Quotidien - OSA - ORCHESTRADE Securities Daily</t>
  </si>
  <si>
    <t>CASA - Quotidien - OSB - ORCHESTRADE Securities Daily MTM</t>
  </si>
  <si>
    <t>CASA - Quotidien - OSE - ORCHESTRADE Securities Extourne</t>
  </si>
  <si>
    <t>CASA - Quotidien - OTA - ORCHESTRADE Taux Daily</t>
  </si>
  <si>
    <t>CASA - Quotidien - OTJ - ORCHESTRADE Taux Daily MTM</t>
  </si>
  <si>
    <t>CASA - Quotidien - OTO - ORCHESTRADE Taux Extourne</t>
  </si>
  <si>
    <t>CASA - Quotidien - SDA - SOPHIS Derivative Daily</t>
  </si>
  <si>
    <t>CASA - Quotidien - SDB - SOPHIS Derivative Daily MTM</t>
  </si>
  <si>
    <t>CASA - Quotidien - SDE - SOPHIS Derivative Extourne</t>
  </si>
  <si>
    <t>CASA - Quotidien - SEA - SOPHIS Equity Daily</t>
  </si>
  <si>
    <t>CASA - Quotidien - SEB - SOPHIS Equity Daily MTM</t>
  </si>
  <si>
    <t>CASA - Quotidien - SEE - SOPHIS Equity Extourne</t>
  </si>
  <si>
    <t>CASA - Mensuel - XOB - CALYPSO Option change *</t>
  </si>
  <si>
    <t>CASA - Mensuel - SMM - SUMMIT Soulte*</t>
  </si>
  <si>
    <t>CASA - Mensuel - PCB - Reeval *</t>
  </si>
  <si>
    <t>CASA - Mensuel - TIB - TIR *</t>
  </si>
  <si>
    <t>CASA - Mensuel - XMB - FXM</t>
  </si>
  <si>
    <t>CASA - Remontee Resultats</t>
  </si>
  <si>
    <t>CASA - PRB - Provisionnement mensuel *</t>
  </si>
  <si>
    <t>CASA - Mensuel - TCG - Monthly</t>
  </si>
  <si>
    <t>CASA - Mensuel - OSR - ORCHESTRADE Securities</t>
  </si>
  <si>
    <t>CASA - Mensuel - OSS - ORCHESTRADE Securities Extourne</t>
  </si>
  <si>
    <t>CASA - Mensuel - OTR - ORCHESTRADE Taux</t>
  </si>
  <si>
    <t>CASA - Mensuel - OTS - ORCHESTRADE Taux Extourne</t>
  </si>
  <si>
    <t>CASA - Mensuel - SDR - SOPHIS Derivative</t>
  </si>
  <si>
    <t>CASA - Mensuel - SDS - SOPHIS Derivative Extourne</t>
  </si>
  <si>
    <t>CASA - Mensuel - SER - SOPHIS Equity</t>
  </si>
  <si>
    <t>CASA - Mensuel - SES - SOPHIS Equity Extourne</t>
  </si>
  <si>
    <t>LCL</t>
  </si>
  <si>
    <t>LCL - SUMMIT Quotidien</t>
  </si>
  <si>
    <t>LCL - CALYPSO Treso Change Quotidien</t>
  </si>
  <si>
    <t>LCL - SUMMIT Mensuel</t>
  </si>
  <si>
    <t>LCL - CALYPSO Treso Change Mensuel</t>
  </si>
  <si>
    <t>LCL - ODC</t>
  </si>
  <si>
    <t>LCL - Quotidien - XOA - CALYPSO Option Change*</t>
  </si>
  <si>
    <t>LCL - Quotidien - TCA - CALYPSO Treso Change</t>
  </si>
  <si>
    <t>LCL - Quotidien - CTA - TCT *</t>
  </si>
  <si>
    <t>LCL - Quotidien - SMA - SUMMIT</t>
  </si>
  <si>
    <t>LCL - Quotidien - TIA - TIR</t>
  </si>
  <si>
    <t>LCL - Quotidien - ODX - SUMMIT</t>
  </si>
  <si>
    <t>LCL - Quotidien - CBA - NEW CALYPSO Reglement Titres Daily</t>
  </si>
  <si>
    <t>LCL - Quotidien - PAA - PACO Reglement Daily</t>
  </si>
  <si>
    <t>LCL - Quotidien - OSA - ORCHESTRADE Securities Daily</t>
  </si>
  <si>
    <t>LCL - Quotidien - OSB - ORCHESTRADE Securities Daily MTM</t>
  </si>
  <si>
    <t>LCL - Quotidien - OSE - ORCHESTRADE Securities Extourne</t>
  </si>
  <si>
    <t>LCL - Quotidien - OTA - ORCHESTRADE Taux Daily</t>
  </si>
  <si>
    <t>LCL - Quotidien - OTJ - ORCHESTRADE Taux Daily MTM</t>
  </si>
  <si>
    <t>LCL - Quotidien - OTO - ORCHESTRADE Taux Extourne</t>
  </si>
  <si>
    <t>LCL - Mensuel - XOB - CALYPSO Option Change*</t>
  </si>
  <si>
    <t>LCL - Mensuel - TCB - CALYPSO Treso Change</t>
  </si>
  <si>
    <t>LCL - Mensuel - TCE - CALYPSO Treso Change Extourne</t>
  </si>
  <si>
    <t>LCL - Mensuel - SMB - SUMMIT</t>
  </si>
  <si>
    <t>LCL - Remontee Resultats</t>
  </si>
  <si>
    <t>LCL - Mensuel - TIB - TIR</t>
  </si>
  <si>
    <t>LCL - Mensuel - PCB - Reeval</t>
  </si>
  <si>
    <t>LCL - Mensuel - OSR - ORCHESTRADE Securities</t>
  </si>
  <si>
    <t>LCL - Mensuel - OSS - ORCHESTRADE Securities Extourne</t>
  </si>
  <si>
    <t>LCL - Mensuel - OTR - ORCHESTRADE Taux</t>
  </si>
  <si>
    <t>LCL - Mensuel - OTS - ORCHESTRADE Taux Extourne</t>
  </si>
  <si>
    <t>Synthese Harmony RDJ AMI CRE du 20250905</t>
  </si>
  <si>
    <t>MQ</t>
  </si>
  <si>
    <t>PSGL</t>
  </si>
  <si>
    <t>MX001</t>
  </si>
  <si>
    <t>GB001</t>
  </si>
  <si>
    <t>FR003</t>
  </si>
  <si>
    <t>Total Mouvements PSGL</t>
  </si>
  <si>
    <t>Commentaires</t>
  </si>
  <si>
    <t>Messages Rejets (TRANSCO)</t>
  </si>
  <si>
    <t>Messages Rejets (TRANSVER)</t>
  </si>
  <si>
    <t>Rejets Transco</t>
  </si>
  <si>
    <t>Mouvements
(Saisie Libre)</t>
  </si>
  <si>
    <t>Mouvements
(Saisie Assistée - Financement)</t>
  </si>
  <si>
    <t>Mouvements
(Saisie Assistée -Marché)</t>
  </si>
  <si>
    <t>Rangs (BGC)</t>
  </si>
  <si>
    <t>Soldes enrichis
(GLE)</t>
  </si>
  <si>
    <t>Total
(Hors rejet)</t>
  </si>
  <si>
    <t>Rejets transverse</t>
  </si>
  <si>
    <t>Rangs
(BGC)</t>
  </si>
  <si>
    <t>Flux
(CRT)</t>
  </si>
  <si>
    <t>Soldes enrichis (GLE)</t>
  </si>
  <si>
    <t>Mouvements
(PSGL)</t>
  </si>
  <si>
    <t>Mouvements
(TDC)</t>
  </si>
  <si>
    <t>Mouvements
(ORACL)</t>
  </si>
  <si>
    <t>ODC
(Période courante)</t>
  </si>
  <si>
    <t>ODO
(Rétro CN1)</t>
  </si>
  <si>
    <t>ODM
(Rétro CN2)</t>
  </si>
  <si>
    <t>ODR
(Rétro CFM)</t>
  </si>
  <si>
    <t>ODA
(Rétro Annuel)</t>
  </si>
  <si>
    <t>ESI</t>
  </si>
  <si>
    <t>CRS lus</t>
  </si>
  <si>
    <t>CRS traités (VAC1)</t>
  </si>
  <si>
    <t>CRS non-traités (GARB)</t>
  </si>
  <si>
    <t>GLE</t>
  </si>
  <si>
    <t>Synthese Harmony RDJ CRE LCL du 05/09/25</t>
  </si>
  <si>
    <t>TCA:376</t>
  </si>
  <si>
    <t>CTA:44</t>
  </si>
  <si>
    <t>SMA:91</t>
  </si>
  <si>
    <t>TIA:178</t>
  </si>
  <si>
    <t>XOA:104</t>
  </si>
  <si>
    <t>Filiere Techniques</t>
  </si>
  <si>
    <t>Suivi de Production INTERFACES COMPTABLES {DATE}</t>
  </si>
  <si>
    <t>Synthese Harmony RDJ CRE CACIB du {DATE}</t>
  </si>
  <si>
    <t>Description</t>
  </si>
  <si>
    <t>Synthese Harmony-BFI RDJ CRE du {DATE}</t>
  </si>
  <si>
    <t>Synthese Harmony RDJ CRE Sous-Traitance du {DATE}</t>
  </si>
  <si>
    <t>Synthese Harmony Recap_SGO_In-Out du {DATE}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</si>
</sst>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[Red]\-#,##0\ "/>
    <numFmt numFmtId="165" formatCode="#,##0;[Red]#,##0"/>
  </numFmts>
  <fonts count="15" x14ac:knownFonts="1">
    <font>
      <sz val="10"/>
      <name val="Arial"/>
      <family val="2"/>
    </font>
    <font>
      <sz val="10"/>
      <name val="Arial"/>
    </font>
    <font>
      <b/>
      <sz val="10"/>
      <name val="Arial"/>
      <family val="2"/>
    </font>
    <font>
      <b/>
      <sz val="16"/>
      <color indexed="12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12"/>
      <color indexed="12"/>
      <name val="Arial"/>
      <family val="2"/>
    </font>
    <font>
      <b/>
      <sz val="16"/>
      <color indexed="10"/>
      <name val="Arial"/>
      <family val="2"/>
    </font>
    <font>
      <b/>
      <sz val="14"/>
      <name val="Arial"/>
      <family val="2"/>
    </font>
    <font>
      <sz val="10"/>
      <color indexed="10"/>
      <name val="Arial"/>
      <family val="2"/>
    </font>
    <font>
      <sz val="10"/>
      <color indexed="9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82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0">
    <xf numFmtId="0" fontId="0" fillId="0" borderId="0" xfId="0"/>
    <xf numFmtId="164" fontId="0" fillId="0" borderId="0" xfId="0" applyNumberFormat="1"/>
    <xf numFmtId="0" fontId="2" fillId="0" borderId="0" xfId="0" applyFont="1" applyBorder="1" applyAlignment="1">
      <alignment horizontal="center" vertical="center"/>
    </xf>
    <xf numFmtId="164" fontId="3" fillId="0" borderId="0" xfId="0" applyNumberFormat="1" applyFont="1" applyBorder="1" applyAlignment="1">
      <alignment vertical="center"/>
    </xf>
    <xf numFmtId="0" fontId="0" fillId="0" borderId="1" xfId="0" applyBorder="1"/>
    <xf numFmtId="0" fontId="4" fillId="7" borderId="2" xfId="0" applyFont="1" applyFill="1" applyBorder="1" applyAlignment="1">
      <alignment horizontal="center" vertical="center"/>
    </xf>
    <xf numFmtId="164" fontId="5" fillId="9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64" fontId="5" fillId="6" borderId="4" xfId="0" applyNumberFormat="1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164" fontId="5" fillId="8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8" borderId="7" xfId="0" applyNumberFormat="1" applyFont="1" applyFill="1" applyBorder="1" applyAlignment="1">
      <alignment horizontal="center" vertical="center"/>
    </xf>
    <xf numFmtId="164" fontId="7" fillId="9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Font="1" applyBorder="1"/>
    <xf numFmtId="0" fontId="0" fillId="0" borderId="7" xfId="0" applyFont="1" applyBorder="1"/>
    <xf numFmtId="164" fontId="0" fillId="0" borderId="0" xfId="0" applyNumberFormat="1" applyBorder="1"/>
    <xf numFmtId="164" fontId="0" fillId="0" borderId="9" xfId="0" applyNumberFormat="1" applyBorder="1"/>
    <xf numFmtId="164" fontId="0" fillId="2" borderId="2" xfId="0" applyNumberFormat="1" applyFill="1" applyBorder="1"/>
    <xf numFmtId="164" fontId="0" fillId="2" borderId="6" xfId="0" applyNumberFormat="1" applyFill="1" applyBorder="1"/>
    <xf numFmtId="0" fontId="0" fillId="0" borderId="10" xfId="0" applyFont="1" applyBorder="1"/>
    <xf numFmtId="164" fontId="0" fillId="0" borderId="11" xfId="0" applyNumberFormat="1" applyBorder="1"/>
    <xf numFmtId="0" fontId="2" fillId="0" borderId="0" xfId="0" applyFont="1" applyAlignment="1">
      <alignment horizontal="center" vertical="center"/>
    </xf>
    <xf numFmtId="0" fontId="0" fillId="0" borderId="0" xfId="0" applyFont="1" applyBorder="1"/>
    <xf numFmtId="164" fontId="8" fillId="9" borderId="3" xfId="0" applyNumberFormat="1" applyFont="1" applyFill="1" applyBorder="1"/>
    <xf numFmtId="164" fontId="8" fillId="9" borderId="12" xfId="0" applyNumberFormat="1" applyFont="1" applyFill="1" applyBorder="1"/>
    <xf numFmtId="164" fontId="8" fillId="0" borderId="2" xfId="0" applyNumberFormat="1" applyFont="1" applyFill="1" applyBorder="1"/>
    <xf numFmtId="0" fontId="0" fillId="0" borderId="0" xfId="0" applyNumberFormat="1" applyBorder="1" applyAlignment="1">
      <alignment horizontal="right"/>
    </xf>
    <xf numFmtId="164" fontId="0" fillId="0" borderId="0" xfId="0" applyNumberFormat="1" applyFill="1" applyBorder="1"/>
    <xf numFmtId="0" fontId="0" fillId="0" borderId="11" xfId="0" applyFont="1" applyBorder="1"/>
    <xf numFmtId="164" fontId="0" fillId="0" borderId="11" xfId="0" applyNumberFormat="1" applyFill="1" applyBorder="1"/>
    <xf numFmtId="0" fontId="0" fillId="0" borderId="7" xfId="0" applyNumberFormat="1" applyBorder="1"/>
    <xf numFmtId="0" fontId="0" fillId="0" borderId="7" xfId="0" applyNumberFormat="1" applyBorder="1" applyProtection="1">
      <protection locked="0"/>
    </xf>
    <xf numFmtId="0" fontId="0" fillId="0" borderId="0" xfId="0" applyNumberFormat="1" applyBorder="1" applyProtection="1">
      <protection locked="0"/>
    </xf>
    <xf numFmtId="0" fontId="2" fillId="0" borderId="9" xfId="0" applyFont="1" applyBorder="1" applyAlignment="1">
      <alignment horizontal="center" vertical="center"/>
    </xf>
    <xf numFmtId="165" fontId="8" fillId="9" borderId="4" xfId="0" applyNumberFormat="1" applyFont="1" applyFill="1" applyBorder="1"/>
    <xf numFmtId="165" fontId="8" fillId="0" borderId="6" xfId="0" applyNumberFormat="1" applyFont="1" applyFill="1" applyBorder="1"/>
    <xf numFmtId="164" fontId="8" fillId="9" borderId="3" xfId="0" applyNumberFormat="1" applyFont="1" applyFill="1" applyBorder="1" applyAlignment="1">
      <alignment horizontal="right"/>
    </xf>
    <xf numFmtId="164" fontId="8" fillId="0" borderId="6" xfId="0" applyNumberFormat="1" applyFont="1" applyFill="1" applyBorder="1" applyAlignment="1">
      <alignment horizontal="right"/>
    </xf>
    <xf numFmtId="164" fontId="4" fillId="0" borderId="0" xfId="0" applyNumberFormat="1" applyFont="1" applyBorder="1" applyAlignment="1">
      <alignment vertical="center"/>
    </xf>
    <xf numFmtId="164" fontId="5" fillId="9" borderId="2" xfId="0" applyNumberFormat="1" applyFont="1" applyFill="1" applyBorder="1" applyAlignment="1">
      <alignment horizontal="center" vertical="center"/>
    </xf>
    <xf numFmtId="164" fontId="9" fillId="4" borderId="3" xfId="0" applyNumberFormat="1" applyFont="1" applyFill="1" applyBorder="1" applyAlignment="1">
      <alignment horizontal="center" vertical="center" wrapText="1"/>
    </xf>
    <xf numFmtId="164" fontId="4" fillId="4" borderId="3" xfId="0" applyNumberFormat="1" applyFont="1" applyFill="1" applyBorder="1" applyAlignment="1">
      <alignment horizontal="center" vertical="center"/>
    </xf>
    <xf numFmtId="164" fontId="0" fillId="9" borderId="6" xfId="0" applyNumberFormat="1" applyFont="1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/>
    </xf>
    <xf numFmtId="164" fontId="5" fillId="8" borderId="2" xfId="0" applyNumberFormat="1" applyFont="1" applyFill="1" applyBorder="1" applyAlignment="1">
      <alignment horizontal="center" vertical="center"/>
    </xf>
    <xf numFmtId="164" fontId="5" fillId="4" borderId="8" xfId="0" applyNumberFormat="1" applyFont="1" applyFill="1" applyBorder="1" applyAlignment="1">
      <alignment horizontal="center" vertical="center"/>
    </xf>
    <xf numFmtId="0" fontId="0" fillId="0" borderId="9" xfId="0" applyNumberFormat="1" applyBorder="1" applyProtection="1">
      <protection locked="0"/>
    </xf>
    <xf numFmtId="0" fontId="0" fillId="0" borderId="9" xfId="0" applyFont="1" applyBorder="1"/>
    <xf numFmtId="0" fontId="0" fillId="0" borderId="2" xfId="0" applyFont="1" applyBorder="1"/>
    <xf numFmtId="0" fontId="11" fillId="0" borderId="7" xfId="0" applyFont="1" applyBorder="1"/>
    <xf numFmtId="0" fontId="11" fillId="0" borderId="6" xfId="0" applyFont="1" applyFill="1" applyBorder="1"/>
    <xf numFmtId="0" fontId="0" fillId="0" borderId="11" xfId="0" applyNumberFormat="1" applyBorder="1" applyProtection="1">
      <protection locked="0"/>
    </xf>
    <xf numFmtId="0" fontId="0" fillId="0" borderId="10" xfId="0" applyNumberFormat="1" applyBorder="1" applyProtection="1">
      <protection locked="0"/>
    </xf>
    <xf numFmtId="0" fontId="0" fillId="0" borderId="0" xfId="0" applyNumberFormat="1" applyFont="1" applyBorder="1"/>
    <xf numFmtId="164" fontId="8" fillId="9" borderId="13" xfId="0" applyNumberFormat="1" applyFont="1" applyFill="1" applyBorder="1"/>
    <xf numFmtId="164" fontId="12" fillId="0" borderId="9" xfId="0" applyNumberFormat="1" applyFont="1" applyBorder="1"/>
    <xf numFmtId="0" fontId="0" fillId="0" borderId="9" xfId="0" applyNumberFormat="1" applyFont="1" applyFill="1" applyBorder="1" applyAlignment="1"/>
    <xf numFmtId="164" fontId="12" fillId="0" borderId="11" xfId="0" applyNumberFormat="1" applyFont="1" applyBorder="1"/>
    <xf numFmtId="0" fontId="0" fillId="0" borderId="11" xfId="0" applyNumberFormat="1" applyFont="1" applyFill="1" applyBorder="1" applyAlignment="1"/>
    <xf numFmtId="164" fontId="8" fillId="9" borderId="4" xfId="0" applyNumberFormat="1" applyFont="1" applyFill="1" applyBorder="1"/>
    <xf numFmtId="0" fontId="0" fillId="0" borderId="0" xfId="0" applyBorder="1"/>
    <xf numFmtId="164" fontId="5" fillId="4" borderId="3" xfId="0" applyNumberFormat="1" applyFont="1" applyFill="1" applyBorder="1" applyAlignment="1">
      <alignment horizontal="center" vertical="center"/>
    </xf>
    <xf numFmtId="0" fontId="0" fillId="0" borderId="5" xfId="0" applyNumberFormat="1" applyBorder="1" applyProtection="1">
      <protection locked="0"/>
    </xf>
    <xf numFmtId="0" fontId="0" fillId="0" borderId="6" xfId="0" applyBorder="1"/>
    <xf numFmtId="164" fontId="0" fillId="0" borderId="0" xfId="0" applyNumberFormat="1" applyBorder="1" applyProtection="1">
      <protection locked="0"/>
    </xf>
    <xf numFmtId="0" fontId="0" fillId="0" borderId="9" xfId="0" applyBorder="1"/>
    <xf numFmtId="164" fontId="0" fillId="0" borderId="5" xfId="0" applyNumberFormat="1" applyBorder="1"/>
    <xf numFmtId="0" fontId="0" fillId="0" borderId="11" xfId="0" applyBorder="1"/>
    <xf numFmtId="0" fontId="0" fillId="0" borderId="1" xfId="0" applyNumberFormat="1" applyBorder="1" applyProtection="1">
      <protection locked="0"/>
    </xf>
    <xf numFmtId="164" fontId="0" fillId="0" borderId="11" xfId="0" applyNumberFormat="1" applyBorder="1" applyProtection="1">
      <protection locked="0"/>
    </xf>
    <xf numFmtId="164" fontId="8" fillId="9" borderId="3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 vertical="center"/>
    </xf>
    <xf numFmtId="165" fontId="8" fillId="9" borderId="3" xfId="0" applyNumberFormat="1" applyFont="1" applyFill="1" applyBorder="1"/>
    <xf numFmtId="165" fontId="8" fillId="0" borderId="2" xfId="0" applyNumberFormat="1" applyFont="1" applyFill="1" applyBorder="1"/>
    <xf numFmtId="0" fontId="11" fillId="0" borderId="0" xfId="0" applyFont="1"/>
    <xf numFmtId="164" fontId="5" fillId="5" borderId="2" xfId="0" applyNumberFormat="1" applyFont="1" applyFill="1" applyBorder="1" applyAlignment="1">
      <alignment horizontal="center" vertical="center"/>
    </xf>
    <xf numFmtId="164" fontId="5" fillId="5" borderId="14" xfId="0" applyNumberFormat="1" applyFont="1" applyFill="1" applyBorder="1" applyAlignment="1">
      <alignment horizontal="center" vertical="center"/>
    </xf>
    <xf numFmtId="164" fontId="5" fillId="4" borderId="14" xfId="0" applyNumberFormat="1" applyFont="1" applyFill="1" applyBorder="1" applyAlignment="1">
      <alignment horizontal="center" vertical="center"/>
    </xf>
    <xf numFmtId="0" fontId="0" fillId="0" borderId="13" xfId="0" applyFont="1" applyBorder="1"/>
    <xf numFmtId="0" fontId="2" fillId="0" borderId="4" xfId="0" applyFont="1" applyBorder="1" applyAlignment="1">
      <alignment horizontal="center" vertical="center"/>
    </xf>
    <xf numFmtId="164" fontId="13" fillId="8" borderId="2" xfId="0" applyNumberFormat="1" applyFont="1" applyFill="1" applyBorder="1" applyAlignment="1">
      <alignment horizontal="center" vertical="center"/>
    </xf>
    <xf numFmtId="164" fontId="11" fillId="5" borderId="2" xfId="0" applyNumberFormat="1" applyFont="1" applyFill="1" applyBorder="1" applyAlignment="1">
      <alignment horizontal="center" vertical="center" wrapText="1"/>
    </xf>
    <xf numFmtId="164" fontId="11" fillId="4" borderId="2" xfId="0" applyNumberFormat="1" applyFont="1" applyFill="1" applyBorder="1" applyAlignment="1">
      <alignment horizontal="center" vertical="center" wrapText="1"/>
    </xf>
    <xf numFmtId="164" fontId="13" fillId="4" borderId="2" xfId="0" applyNumberFormat="1" applyFont="1" applyFill="1" applyBorder="1" applyAlignment="1">
      <alignment horizontal="center" vertical="center" wrapText="1"/>
    </xf>
    <xf numFmtId="164" fontId="11" fillId="6" borderId="2" xfId="0" applyNumberFormat="1" applyFont="1" applyFill="1" applyBorder="1" applyAlignment="1">
      <alignment horizontal="center" vertical="center" wrapText="1"/>
    </xf>
    <xf numFmtId="164" fontId="13" fillId="6" borderId="2" xfId="0" applyNumberFormat="1" applyFont="1" applyFill="1" applyBorder="1" applyAlignment="1">
      <alignment horizontal="center" vertical="center" wrapText="1"/>
    </xf>
    <xf numFmtId="0" fontId="0" fillId="0" borderId="6" xfId="0" applyNumberFormat="1" applyFont="1" applyBorder="1"/>
    <xf numFmtId="0" fontId="0" fillId="0" borderId="2" xfId="0" applyNumberFormat="1" applyFont="1" applyBorder="1"/>
    <xf numFmtId="0" fontId="0" fillId="0" borderId="4" xfId="0" applyNumberFormat="1" applyFont="1" applyBorder="1"/>
    <xf numFmtId="0" fontId="2" fillId="0" borderId="10" xfId="0" applyFont="1" applyBorder="1" applyAlignment="1">
      <alignment horizontal="center" vertical="center"/>
    </xf>
    <xf numFmtId="0" fontId="0" fillId="0" borderId="15" xfId="0" applyBorder="1"/>
    <xf numFmtId="0" fontId="11" fillId="0" borderId="16" xfId="0" applyFont="1" applyBorder="1"/>
    <xf numFmtId="164" fontId="0" fillId="0" borderId="7" xfId="0" applyNumberFormat="1" applyFont="1" applyBorder="1"/>
    <xf numFmtId="164" fontId="0" fillId="9" borderId="17" xfId="0" applyNumberFormat="1" applyFont="1" applyFill="1" applyBorder="1" applyAlignment="1">
      <alignment horizontal="center" vertical="center"/>
    </xf>
    <xf numFmtId="164" fontId="0" fillId="0" borderId="7" xfId="0" applyNumberFormat="1" applyFont="1" applyFill="1" applyBorder="1"/>
    <xf numFmtId="0" fontId="2" fillId="0" borderId="18" xfId="0" applyFont="1" applyBorder="1" applyAlignment="1">
      <alignment horizontal="center" vertical="center"/>
    </xf>
    <xf numFmtId="0" fontId="0" fillId="10" borderId="19" xfId="0" applyFill="1" applyBorder="1" applyAlignment="1">
      <alignment horizontal="center"/>
    </xf>
    <xf numFmtId="0" fontId="0" fillId="0" borderId="20" xfId="0" applyBorder="1"/>
    <xf numFmtId="0" fontId="0" fillId="10" borderId="21" xfId="0" applyNumberFormat="1" applyFill="1" applyBorder="1" applyAlignment="1" applyProtection="1">
      <alignment horizontal="center"/>
      <protection locked="0"/>
    </xf>
    <xf numFmtId="164" fontId="11" fillId="0" borderId="7" xfId="0" applyNumberFormat="1" applyFont="1" applyBorder="1"/>
    <xf numFmtId="164" fontId="13" fillId="3" borderId="2" xfId="0" applyNumberFormat="1" applyFont="1" applyFill="1" applyBorder="1" applyAlignment="1">
      <alignment horizontal="center" vertical="center" wrapText="1"/>
    </xf>
    <xf numFmtId="164" fontId="13" fillId="3" borderId="22" xfId="0" applyNumberFormat="1" applyFont="1" applyFill="1" applyBorder="1" applyAlignment="1">
      <alignment horizontal="center" vertical="center" wrapText="1"/>
    </xf>
    <xf numFmtId="164" fontId="13" fillId="8" borderId="8" xfId="0" applyNumberFormat="1" applyFont="1" applyFill="1" applyBorder="1" applyAlignment="1">
      <alignment horizontal="center" vertical="center"/>
    </xf>
    <xf numFmtId="164" fontId="13" fillId="3" borderId="23" xfId="0" applyNumberFormat="1" applyFont="1" applyFill="1" applyBorder="1" applyAlignment="1">
      <alignment horizontal="center" vertical="center" wrapText="1"/>
    </xf>
    <xf numFmtId="164" fontId="13" fillId="3" borderId="24" xfId="0" applyNumberFormat="1" applyFont="1" applyFill="1" applyBorder="1" applyAlignment="1">
      <alignment horizontal="center" vertical="center" wrapText="1"/>
    </xf>
    <xf numFmtId="164" fontId="13" fillId="3" borderId="25" xfId="0" applyNumberFormat="1" applyFont="1" applyFill="1" applyBorder="1" applyAlignment="1">
      <alignment horizontal="center" vertical="center" wrapText="1"/>
    </xf>
    <xf numFmtId="164" fontId="13" fillId="3" borderId="26" xfId="0" applyNumberFormat="1" applyFont="1" applyFill="1" applyBorder="1" applyAlignment="1">
      <alignment horizontal="center" vertical="center" wrapText="1"/>
    </xf>
    <xf numFmtId="164" fontId="13" fillId="3" borderId="14" xfId="0" applyNumberFormat="1" applyFont="1" applyFill="1" applyBorder="1" applyAlignment="1">
      <alignment horizontal="center" vertical="center" wrapText="1"/>
    </xf>
    <xf numFmtId="164" fontId="8" fillId="9" borderId="1" xfId="0" applyNumberFormat="1" applyFont="1" applyFill="1" applyBorder="1"/>
    <xf numFmtId="164" fontId="8" fillId="0" borderId="6" xfId="0" applyNumberFormat="1" applyFont="1" applyFill="1" applyBorder="1"/>
    <xf numFmtId="164" fontId="8" fillId="0" borderId="7" xfId="0" applyNumberFormat="1" applyFont="1" applyFill="1" applyBorder="1"/>
    <xf numFmtId="0" fontId="0" fillId="0" borderId="5" xfId="0" applyNumberFormat="1" applyBorder="1" applyAlignment="1">
      <alignment horizontal="right"/>
    </xf>
    <xf numFmtId="164" fontId="5" fillId="6" borderId="27" xfId="0" applyNumberFormat="1" applyFont="1" applyFill="1" applyBorder="1" applyAlignment="1">
      <alignment horizontal="center" vertical="center" wrapText="1"/>
    </xf>
    <xf numFmtId="164" fontId="5" fillId="6" borderId="28" xfId="0" applyNumberFormat="1" applyFont="1" applyFill="1" applyBorder="1" applyAlignment="1">
      <alignment horizontal="center" vertical="center" wrapText="1"/>
    </xf>
    <xf numFmtId="164" fontId="5" fillId="8" borderId="29" xfId="0" applyNumberFormat="1" applyFont="1" applyFill="1" applyBorder="1" applyAlignment="1">
      <alignment horizontal="center" vertical="center"/>
    </xf>
    <xf numFmtId="164" fontId="5" fillId="4" borderId="30" xfId="0" applyNumberFormat="1" applyFont="1" applyFill="1" applyBorder="1" applyAlignment="1">
      <alignment horizontal="center" vertical="center"/>
    </xf>
    <xf numFmtId="164" fontId="5" fillId="4" borderId="31" xfId="0" applyNumberFormat="1" applyFont="1" applyFill="1" applyBorder="1" applyAlignment="1">
      <alignment horizontal="center" vertical="center"/>
    </xf>
    <xf numFmtId="164" fontId="5" fillId="8" borderId="32" xfId="0" applyNumberFormat="1" applyFont="1" applyFill="1" applyBorder="1" applyAlignment="1">
      <alignment horizontal="center" vertical="center"/>
    </xf>
    <xf numFmtId="164" fontId="5" fillId="7" borderId="31" xfId="0" applyNumberFormat="1" applyFont="1" applyFill="1" applyBorder="1" applyAlignment="1">
      <alignment horizontal="center" vertical="center"/>
    </xf>
    <xf numFmtId="164" fontId="7" fillId="9" borderId="33" xfId="0" applyNumberFormat="1" applyFont="1" applyFill="1" applyBorder="1" applyAlignment="1">
      <alignment horizontal="center" vertical="center"/>
    </xf>
    <xf numFmtId="164" fontId="0" fillId="2" borderId="35" xfId="0" applyNumberFormat="1" applyFill="1" applyBorder="1"/>
    <xf numFmtId="164" fontId="0" fillId="2" borderId="36" xfId="0" applyNumberFormat="1" applyFill="1" applyBorder="1"/>
    <xf numFmtId="165" fontId="8" fillId="0" borderId="7" xfId="0" applyNumberFormat="1" applyFont="1" applyFill="1" applyBorder="1"/>
    <xf numFmtId="0" fontId="0" fillId="0" borderId="37" xfId="0" applyFont="1" applyBorder="1"/>
    <xf numFmtId="164" fontId="0" fillId="2" borderId="33" xfId="0" applyNumberFormat="1" applyFill="1" applyBorder="1"/>
    <xf numFmtId="164" fontId="8" fillId="9" borderId="10" xfId="0" applyNumberFormat="1" applyFont="1" applyFill="1" applyBorder="1"/>
    <xf numFmtId="0" fontId="0" fillId="0" borderId="0" xfId="0" applyNumberFormat="1" applyFont="1" applyFill="1" applyBorder="1" applyAlignment="1"/>
    <xf numFmtId="164" fontId="5" fillId="6" borderId="6" xfId="0" applyNumberFormat="1" applyFont="1" applyFill="1" applyBorder="1" applyAlignment="1">
      <alignment horizontal="center" vertical="center" wrapText="1"/>
    </xf>
    <xf numFmtId="164" fontId="5" fillId="6" borderId="5" xfId="0" applyNumberFormat="1" applyFont="1" applyFill="1" applyBorder="1" applyAlignment="1">
      <alignment horizontal="center" vertical="center" wrapText="1"/>
    </xf>
    <xf numFmtId="164" fontId="5" fillId="4" borderId="38" xfId="0" applyNumberFormat="1" applyFont="1" applyFill="1" applyBorder="1" applyAlignment="1">
      <alignment horizontal="center" vertical="center"/>
    </xf>
    <xf numFmtId="164" fontId="5" fillId="8" borderId="33" xfId="0" applyNumberFormat="1" applyFont="1" applyFill="1" applyBorder="1" applyAlignment="1">
      <alignment horizontal="center" vertical="center"/>
    </xf>
    <xf numFmtId="164" fontId="5" fillId="7" borderId="39" xfId="0" applyNumberFormat="1" applyFont="1" applyFill="1" applyBorder="1" applyAlignment="1">
      <alignment horizontal="center" vertical="center"/>
    </xf>
    <xf numFmtId="164" fontId="0" fillId="2" borderId="40" xfId="0" applyNumberFormat="1" applyFill="1" applyBorder="1"/>
    <xf numFmtId="0" fontId="0" fillId="0" borderId="18" xfId="0" applyNumberFormat="1" applyBorder="1" applyProtection="1">
      <protection locked="0"/>
    </xf>
    <xf numFmtId="164" fontId="12" fillId="0" borderId="0" xfId="0" applyNumberFormat="1" applyFont="1" applyBorder="1"/>
    <xf numFmtId="164" fontId="5" fillId="8" borderId="8" xfId="0" applyNumberFormat="1" applyFont="1" applyFill="1" applyBorder="1" applyAlignment="1">
      <alignment horizontal="center" vertical="center"/>
    </xf>
    <xf numFmtId="164" fontId="5" fillId="4" borderId="39" xfId="0" applyNumberFormat="1" applyFont="1" applyFill="1" applyBorder="1" applyAlignment="1">
      <alignment horizontal="center" vertical="center"/>
    </xf>
    <xf numFmtId="164" fontId="5" fillId="8" borderId="34" xfId="0" applyNumberFormat="1" applyFont="1" applyFill="1" applyBorder="1" applyAlignment="1">
      <alignment horizontal="center" vertical="center"/>
    </xf>
    <xf numFmtId="164" fontId="8" fillId="0" borderId="7" xfId="0" applyNumberFormat="1" applyFont="1" applyFill="1" applyBorder="1" applyAlignment="1">
      <alignment horizontal="right"/>
    </xf>
    <xf numFmtId="0" fontId="0" fillId="0" borderId="41" xfId="0" applyFont="1" applyBorder="1"/>
    <xf numFmtId="164" fontId="0" fillId="0" borderId="6" xfId="0" applyNumberFormat="1" applyFont="1" applyBorder="1"/>
    <xf numFmtId="0" fontId="11" fillId="0" borderId="0" xfId="0" applyFont="1" applyBorder="1"/>
    <xf numFmtId="0" fontId="0" fillId="0" borderId="42" xfId="0" applyBorder="1"/>
    <xf numFmtId="164" fontId="0" fillId="0" borderId="43" xfId="0" applyNumberFormat="1" applyFont="1" applyBorder="1"/>
    <xf numFmtId="164" fontId="0" fillId="9" borderId="8" xfId="0" applyNumberFormat="1" applyFont="1" applyFill="1" applyBorder="1" applyAlignment="1">
      <alignment horizontal="center" vertical="center"/>
    </xf>
    <xf numFmtId="164" fontId="9" fillId="4" borderId="2" xfId="0" applyNumberFormat="1" applyFont="1" applyFill="1" applyBorder="1" applyAlignment="1">
      <alignment horizontal="center" vertical="center" wrapText="1"/>
    </xf>
    <xf numFmtId="164" fontId="5" fillId="4" borderId="45" xfId="0" applyNumberFormat="1" applyFont="1" applyFill="1" applyBorder="1" applyAlignment="1">
      <alignment horizontal="center" vertical="center"/>
    </xf>
    <xf numFmtId="164" fontId="8" fillId="9" borderId="45" xfId="0" applyNumberFormat="1" applyFont="1" applyFill="1" applyBorder="1" applyAlignment="1">
      <alignment horizontal="right"/>
    </xf>
    <xf numFmtId="0" fontId="0" fillId="0" borderId="45" xfId="0" applyNumberFormat="1" applyBorder="1" applyProtection="1">
      <protection locked="0"/>
    </xf>
    <xf numFmtId="164" fontId="0" fillId="0" borderId="0" xfId="0" applyNumberFormat="1" applyFont="1" applyBorder="1"/>
    <xf numFmtId="164" fontId="0" fillId="0" borderId="41" xfId="0" applyNumberFormat="1" applyFont="1" applyBorder="1"/>
    <xf numFmtId="0" fontId="11" fillId="0" borderId="0" xfId="0" applyFont="1" applyFill="1" applyBorder="1"/>
    <xf numFmtId="164" fontId="8" fillId="9" borderId="17" xfId="0" applyNumberFormat="1" applyFont="1" applyFill="1" applyBorder="1"/>
    <xf numFmtId="0" fontId="11" fillId="0" borderId="16" xfId="0" applyFont="1" applyFill="1" applyBorder="1"/>
    <xf numFmtId="0" fontId="11" fillId="0" borderId="40" xfId="0" applyFont="1" applyFill="1" applyBorder="1"/>
    <xf numFmtId="164" fontId="8" fillId="9" borderId="17" xfId="0" applyNumberFormat="1" applyFont="1" applyFill="1" applyBorder="1" applyAlignment="1"/>
    <xf numFmtId="0" fontId="8" fillId="9" borderId="17" xfId="0" applyFont="1" applyFill="1" applyBorder="1"/>
    <xf numFmtId="0" fontId="0" fillId="0" borderId="7" xfId="0" applyBorder="1"/>
    <xf numFmtId="164" fontId="8" fillId="9" borderId="11" xfId="0" applyNumberFormat="1" applyFont="1" applyFill="1" applyBorder="1"/>
    <xf numFmtId="164" fontId="8" fillId="9" borderId="46" xfId="0" applyNumberFormat="1" applyFont="1" applyFill="1" applyBorder="1"/>
    <xf numFmtId="164" fontId="5" fillId="9" borderId="14" xfId="0" applyNumberFormat="1" applyFont="1" applyFill="1" applyBorder="1" applyAlignment="1">
      <alignment horizontal="center" vertical="center"/>
    </xf>
    <xf numFmtId="164" fontId="0" fillId="9" borderId="5" xfId="0" applyNumberFormat="1" applyFont="1" applyFill="1" applyBorder="1" applyAlignment="1">
      <alignment horizontal="center" vertical="center"/>
    </xf>
    <xf numFmtId="164" fontId="0" fillId="2" borderId="5" xfId="0" applyNumberFormat="1" applyFill="1" applyBorder="1"/>
    <xf numFmtId="0" fontId="0" fillId="0" borderId="7" xfId="0" applyFont="1" applyFill="1" applyBorder="1"/>
    <xf numFmtId="0" fontId="0" fillId="0" borderId="5" xfId="0" applyNumberFormat="1" applyFill="1" applyBorder="1"/>
    <xf numFmtId="0" fontId="0" fillId="0" borderId="9" xfId="0" applyNumberFormat="1" applyFill="1" applyBorder="1"/>
    <xf numFmtId="0" fontId="0" fillId="0" borderId="0" xfId="0" applyNumberFormat="1" applyFill="1" applyBorder="1"/>
    <xf numFmtId="0" fontId="0" fillId="0" borderId="47" xfId="0" applyNumberFormat="1" applyFill="1" applyBorder="1" applyAlignment="1">
      <alignment wrapText="1"/>
    </xf>
    <xf numFmtId="0" fontId="0" fillId="0" borderId="41" xfId="0" applyNumberFormat="1" applyFill="1" applyBorder="1"/>
    <xf numFmtId="0" fontId="0" fillId="8" borderId="48" xfId="0" applyFont="1" applyFill="1" applyBorder="1"/>
    <xf numFmtId="164" fontId="0" fillId="8" borderId="6" xfId="0" applyNumberFormat="1" applyFill="1" applyBorder="1"/>
    <xf numFmtId="164" fontId="0" fillId="8" borderId="7" xfId="0" applyNumberFormat="1" applyFill="1" applyBorder="1"/>
    <xf numFmtId="164" fontId="0" fillId="8" borderId="0" xfId="0" applyNumberFormat="1" applyFill="1" applyBorder="1"/>
    <xf numFmtId="164" fontId="0" fillId="8" borderId="9" xfId="0" applyNumberFormat="1" applyFill="1" applyBorder="1"/>
    <xf numFmtId="164" fontId="0" fillId="8" borderId="2" xfId="0" applyNumberFormat="1" applyFill="1" applyBorder="1"/>
    <xf numFmtId="0" fontId="0" fillId="8" borderId="6" xfId="0" applyNumberFormat="1" applyFill="1" applyBorder="1" applyAlignment="1">
      <alignment horizontal="right"/>
    </xf>
    <xf numFmtId="0" fontId="0" fillId="8" borderId="49" xfId="0" applyFont="1" applyFill="1" applyBorder="1"/>
    <xf numFmtId="164" fontId="0" fillId="8" borderId="17" xfId="0" applyNumberFormat="1" applyFill="1" applyBorder="1"/>
    <xf numFmtId="164" fontId="0" fillId="8" borderId="50" xfId="0" applyNumberFormat="1" applyFill="1" applyBorder="1"/>
    <xf numFmtId="164" fontId="0" fillId="8" borderId="41" xfId="0" applyNumberFormat="1" applyFill="1" applyBorder="1"/>
    <xf numFmtId="0" fontId="0" fillId="8" borderId="17" xfId="0" applyNumberFormat="1" applyFill="1" applyBorder="1" applyAlignment="1">
      <alignment horizontal="right"/>
    </xf>
    <xf numFmtId="0" fontId="0" fillId="8" borderId="37" xfId="0" applyFont="1" applyFill="1" applyBorder="1"/>
    <xf numFmtId="164" fontId="0" fillId="8" borderId="31" xfId="0" applyNumberFormat="1" applyFill="1" applyBorder="1"/>
    <xf numFmtId="164" fontId="0" fillId="8" borderId="32" xfId="0" applyNumberFormat="1" applyFill="1" applyBorder="1"/>
    <xf numFmtId="164" fontId="0" fillId="8" borderId="18" xfId="0" applyNumberFormat="1" applyFill="1" applyBorder="1"/>
    <xf numFmtId="0" fontId="0" fillId="8" borderId="31" xfId="0" applyNumberFormat="1" applyFill="1" applyBorder="1" applyAlignment="1">
      <alignment horizontal="right"/>
    </xf>
    <xf numFmtId="3" fontId="0" fillId="8" borderId="6" xfId="0" applyNumberFormat="1" applyFill="1" applyBorder="1" applyProtection="1">
      <protection locked="0"/>
    </xf>
    <xf numFmtId="0" fontId="0" fillId="8" borderId="7" xfId="0" applyNumberFormat="1" applyFill="1" applyBorder="1" applyProtection="1">
      <protection locked="0"/>
    </xf>
    <xf numFmtId="3" fontId="0" fillId="8" borderId="0" xfId="0" applyNumberFormat="1" applyFill="1" applyBorder="1" applyProtection="1">
      <protection locked="0"/>
    </xf>
    <xf numFmtId="0" fontId="0" fillId="8" borderId="0" xfId="0" applyNumberFormat="1" applyFill="1" applyBorder="1" applyProtection="1">
      <protection locked="0"/>
    </xf>
    <xf numFmtId="0" fontId="0" fillId="8" borderId="6" xfId="0" applyNumberFormat="1" applyFill="1" applyBorder="1" applyProtection="1">
      <protection locked="0"/>
    </xf>
    <xf numFmtId="0" fontId="0" fillId="0" borderId="0" xfId="0" applyNumberFormat="1" applyFill="1" applyBorder="1" applyAlignment="1">
      <alignment wrapText="1"/>
    </xf>
    <xf numFmtId="0" fontId="0" fillId="0" borderId="30" xfId="0" applyNumberFormat="1" applyFill="1" applyBorder="1" applyAlignment="1">
      <alignment wrapText="1"/>
    </xf>
    <xf numFmtId="0" fontId="0" fillId="0" borderId="47" xfId="0" applyNumberFormat="1" applyFill="1" applyBorder="1"/>
    <xf numFmtId="0" fontId="0" fillId="0" borderId="18" xfId="0" applyNumberFormat="1" applyFill="1" applyBorder="1"/>
    <xf numFmtId="164" fontId="0" fillId="8" borderId="2" xfId="0" applyNumberFormat="1" applyFill="1" applyBorder="1" applyProtection="1">
      <protection locked="0"/>
    </xf>
    <xf numFmtId="0" fontId="0" fillId="8" borderId="2" xfId="0" applyNumberFormat="1" applyFill="1" applyBorder="1" applyProtection="1">
      <protection locked="0"/>
    </xf>
    <xf numFmtId="0" fontId="0" fillId="8" borderId="8" xfId="0" applyNumberFormat="1" applyFill="1" applyBorder="1" applyProtection="1">
      <protection locked="0"/>
    </xf>
    <xf numFmtId="0" fontId="0" fillId="8" borderId="9" xfId="0" applyFont="1" applyFill="1" applyBorder="1"/>
    <xf numFmtId="0" fontId="0" fillId="8" borderId="2" xfId="0" applyFont="1" applyFill="1" applyBorder="1"/>
    <xf numFmtId="0" fontId="0" fillId="8" borderId="6" xfId="0" applyNumberFormat="1" applyFill="1" applyBorder="1"/>
    <xf numFmtId="164" fontId="0" fillId="8" borderId="6" xfId="0" applyNumberFormat="1" applyFill="1" applyBorder="1" applyProtection="1">
      <protection locked="0"/>
    </xf>
    <xf numFmtId="0" fontId="0" fillId="8" borderId="0" xfId="0" applyFont="1" applyFill="1" applyBorder="1"/>
    <xf numFmtId="0" fontId="0" fillId="8" borderId="6" xfId="0" applyFont="1" applyFill="1" applyBorder="1"/>
    <xf numFmtId="0" fontId="0" fillId="8" borderId="41" xfId="0" applyNumberFormat="1" applyFill="1" applyBorder="1" applyProtection="1">
      <protection locked="0"/>
    </xf>
    <xf numFmtId="0" fontId="0" fillId="8" borderId="5" xfId="0" applyNumberFormat="1" applyFill="1" applyBorder="1" applyProtection="1">
      <protection locked="0"/>
    </xf>
    <xf numFmtId="0" fontId="0" fillId="8" borderId="7" xfId="0" applyNumberFormat="1" applyFill="1" applyBorder="1"/>
    <xf numFmtId="0" fontId="0" fillId="8" borderId="7" xfId="0" applyFont="1" applyFill="1" applyBorder="1"/>
    <xf numFmtId="0" fontId="0" fillId="8" borderId="35" xfId="0" applyFont="1" applyFill="1" applyBorder="1"/>
    <xf numFmtId="0" fontId="0" fillId="8" borderId="17" xfId="0" applyNumberFormat="1" applyFill="1" applyBorder="1" applyProtection="1">
      <protection locked="0"/>
    </xf>
    <xf numFmtId="0" fontId="0" fillId="8" borderId="17" xfId="0" applyFont="1" applyFill="1" applyBorder="1"/>
    <xf numFmtId="0" fontId="0" fillId="8" borderId="4" xfId="0" applyNumberFormat="1" applyFill="1" applyBorder="1" applyProtection="1">
      <protection locked="0"/>
    </xf>
    <xf numFmtId="0" fontId="0" fillId="8" borderId="4" xfId="0" applyFont="1" applyFill="1" applyBorder="1"/>
    <xf numFmtId="0" fontId="0" fillId="0" borderId="2" xfId="0" applyNumberFormat="1" applyFill="1" applyBorder="1" applyProtection="1">
      <protection locked="0"/>
    </xf>
    <xf numFmtId="0" fontId="0" fillId="0" borderId="6" xfId="0" applyNumberFormat="1" applyFill="1" applyBorder="1" applyProtection="1">
      <protection locked="0"/>
    </xf>
    <xf numFmtId="0" fontId="0" fillId="0" borderId="0" xfId="0" applyNumberFormat="1" applyFill="1" applyBorder="1" applyProtection="1">
      <protection locked="0"/>
    </xf>
    <xf numFmtId="0" fontId="0" fillId="0" borderId="7" xfId="0" applyNumberFormat="1" applyFill="1" applyBorder="1" applyProtection="1">
      <protection locked="0"/>
    </xf>
    <xf numFmtId="0" fontId="0" fillId="0" borderId="17" xfId="0" applyNumberFormat="1" applyFill="1" applyBorder="1" applyProtection="1">
      <protection locked="0"/>
    </xf>
    <xf numFmtId="0" fontId="0" fillId="0" borderId="11" xfId="0" applyNumberFormat="1" applyFill="1" applyBorder="1" applyProtection="1">
      <protection locked="0"/>
    </xf>
    <xf numFmtId="0" fontId="0" fillId="0" borderId="35" xfId="0" applyNumberFormat="1" applyFill="1" applyBorder="1" applyProtection="1">
      <protection locked="0"/>
    </xf>
    <xf numFmtId="0" fontId="0" fillId="0" borderId="5" xfId="0" applyNumberFormat="1" applyFill="1" applyBorder="1" applyProtection="1">
      <protection locked="0"/>
    </xf>
    <xf numFmtId="0" fontId="0" fillId="8" borderId="51" xfId="0" applyFont="1" applyFill="1" applyBorder="1"/>
    <xf numFmtId="0" fontId="0" fillId="8" borderId="0" xfId="0" applyFill="1" applyBorder="1"/>
    <xf numFmtId="0" fontId="0" fillId="8" borderId="53" xfId="0" applyFont="1" applyFill="1" applyBorder="1"/>
    <xf numFmtId="0" fontId="0" fillId="0" borderId="57" xfId="0" applyNumberFormat="1" applyFill="1" applyBorder="1" applyProtection="1">
      <protection locked="0"/>
    </xf>
    <xf numFmtId="0" fontId="0" fillId="0" borderId="53" xfId="0" applyNumberFormat="1" applyFill="1" applyBorder="1" applyProtection="1">
      <protection locked="0"/>
    </xf>
    <xf numFmtId="0" fontId="0" fillId="0" borderId="8" xfId="0" applyNumberFormat="1" applyFill="1" applyBorder="1" applyProtection="1">
      <protection locked="0"/>
    </xf>
    <xf numFmtId="0" fontId="0" fillId="8" borderId="50" xfId="0" applyNumberFormat="1" applyFill="1" applyBorder="1" applyProtection="1">
      <protection locked="0"/>
    </xf>
    <xf numFmtId="164" fontId="0" fillId="8" borderId="44" xfId="0" applyNumberFormat="1" applyFill="1" applyBorder="1"/>
    <xf numFmtId="164" fontId="0" fillId="8" borderId="44" xfId="0" applyNumberFormat="1" applyFill="1" applyBorder="1" applyProtection="1">
      <protection locked="0"/>
    </xf>
    <xf numFmtId="0" fontId="0" fillId="8" borderId="44" xfId="0" applyFont="1" applyFill="1" applyBorder="1"/>
    <xf numFmtId="0" fontId="0" fillId="0" borderId="59" xfId="0" applyNumberFormat="1" applyFill="1" applyBorder="1" applyProtection="1">
      <protection locked="0"/>
    </xf>
    <xf numFmtId="0" fontId="0" fillId="0" borderId="0" xfId="0" applyFill="1"/>
    <xf numFmtId="0" fontId="0" fillId="8" borderId="61" xfId="0" applyFill="1" applyBorder="1"/>
    <xf numFmtId="0" fontId="0" fillId="8" borderId="62" xfId="0" applyFill="1" applyBorder="1"/>
    <xf numFmtId="164" fontId="0" fillId="8" borderId="4" xfId="0" applyNumberFormat="1" applyFill="1" applyBorder="1"/>
    <xf numFmtId="164" fontId="0" fillId="8" borderId="1" xfId="0" applyNumberFormat="1" applyFill="1" applyBorder="1"/>
    <xf numFmtId="164" fontId="0" fillId="8" borderId="8" xfId="0" applyNumberFormat="1" applyFill="1" applyBorder="1"/>
    <xf numFmtId="0" fontId="0" fillId="0" borderId="1" xfId="0" applyNumberFormat="1" applyFill="1" applyBorder="1"/>
    <xf numFmtId="0" fontId="0" fillId="0" borderId="11" xfId="0" applyNumberFormat="1" applyFill="1" applyBorder="1" applyAlignment="1">
      <alignment wrapText="1"/>
    </xf>
    <xf numFmtId="0" fontId="0" fillId="0" borderId="14" xfId="0" applyNumberFormat="1" applyFill="1" applyBorder="1" applyAlignment="1">
      <alignment wrapText="1"/>
    </xf>
    <xf numFmtId="0" fontId="0" fillId="0" borderId="11" xfId="0" applyNumberFormat="1" applyFill="1" applyBorder="1"/>
    <xf numFmtId="0" fontId="0" fillId="8" borderId="50" xfId="0" applyNumberFormat="1" applyFill="1" applyBorder="1"/>
    <xf numFmtId="164" fontId="0" fillId="8" borderId="17" xfId="0" applyNumberFormat="1" applyFill="1" applyBorder="1" applyProtection="1">
      <protection locked="0"/>
    </xf>
    <xf numFmtId="0" fontId="0" fillId="8" borderId="50" xfId="0" applyFont="1" applyFill="1" applyBorder="1"/>
    <xf numFmtId="0" fontId="0" fillId="8" borderId="36" xfId="0" applyFont="1" applyFill="1" applyBorder="1"/>
    <xf numFmtId="0" fontId="0" fillId="0" borderId="44" xfId="0" applyNumberFormat="1" applyFill="1" applyBorder="1" applyProtection="1">
      <protection locked="0"/>
    </xf>
    <xf numFmtId="0" fontId="0" fillId="0" borderId="30" xfId="0" applyNumberFormat="1" applyFill="1" applyBorder="1"/>
    <xf numFmtId="164" fontId="0" fillId="0" borderId="0" xfId="0" applyNumberFormat="1" applyFill="1"/>
    <xf numFmtId="0" fontId="0" fillId="8" borderId="32" xfId="0" applyNumberFormat="1" applyFill="1" applyBorder="1" applyProtection="1">
      <protection locked="0"/>
    </xf>
    <xf numFmtId="0" fontId="0" fillId="8" borderId="18" xfId="0" applyNumberFormat="1" applyFill="1" applyBorder="1" applyProtection="1">
      <protection locked="0"/>
    </xf>
    <xf numFmtId="0" fontId="0" fillId="8" borderId="18" xfId="0" applyFont="1" applyFill="1" applyBorder="1"/>
    <xf numFmtId="0" fontId="0" fillId="8" borderId="33" xfId="0" applyFont="1" applyFill="1" applyBorder="1"/>
    <xf numFmtId="0" fontId="0" fillId="8" borderId="64" xfId="0" applyNumberFormat="1" applyFill="1" applyBorder="1"/>
    <xf numFmtId="0" fontId="0" fillId="8" borderId="38" xfId="0" applyNumberFormat="1" applyFill="1" applyBorder="1"/>
    <xf numFmtId="164" fontId="0" fillId="8" borderId="31" xfId="0" applyNumberFormat="1" applyFill="1" applyBorder="1" applyProtection="1">
      <protection locked="0"/>
    </xf>
    <xf numFmtId="0" fontId="0" fillId="8" borderId="31" xfId="0" applyNumberFormat="1" applyFill="1" applyBorder="1" applyProtection="1">
      <protection locked="0"/>
    </xf>
    <xf numFmtId="0" fontId="0" fillId="8" borderId="63" xfId="0" applyNumberFormat="1" applyFill="1" applyBorder="1"/>
    <xf numFmtId="0" fontId="0" fillId="0" borderId="32" xfId="0" applyNumberFormat="1" applyFill="1" applyBorder="1" applyProtection="1">
      <protection locked="0"/>
    </xf>
    <xf numFmtId="0" fontId="0" fillId="0" borderId="0" xfId="0" applyFill="1" applyBorder="1"/>
    <xf numFmtId="0" fontId="0" fillId="0" borderId="33" xfId="0" applyNumberFormat="1" applyFill="1" applyBorder="1" applyProtection="1">
      <protection locked="0"/>
    </xf>
    <xf numFmtId="0" fontId="0" fillId="0" borderId="31" xfId="0" applyNumberFormat="1" applyFill="1" applyBorder="1" applyProtection="1">
      <protection locked="0"/>
    </xf>
    <xf numFmtId="0" fontId="14" fillId="8" borderId="51" xfId="0" applyNumberFormat="1" applyFont="1" applyFill="1" applyBorder="1"/>
    <xf numFmtId="0" fontId="0" fillId="8" borderId="51" xfId="0" applyNumberFormat="1" applyFont="1" applyFill="1" applyBorder="1"/>
    <xf numFmtId="0" fontId="0" fillId="8" borderId="65" xfId="0" applyNumberFormat="1" applyFont="1" applyFill="1" applyBorder="1"/>
    <xf numFmtId="0" fontId="0" fillId="8" borderId="6" xfId="0" applyNumberFormat="1" applyFont="1" applyFill="1" applyBorder="1"/>
    <xf numFmtId="0" fontId="0" fillId="8" borderId="7" xfId="0" applyNumberFormat="1" applyFont="1" applyFill="1" applyBorder="1"/>
    <xf numFmtId="0" fontId="0" fillId="8" borderId="52" xfId="0" applyNumberFormat="1" applyFont="1" applyFill="1" applyBorder="1"/>
    <xf numFmtId="0" fontId="0" fillId="8" borderId="5" xfId="0" applyNumberFormat="1" applyFont="1" applyFill="1" applyBorder="1"/>
    <xf numFmtId="0" fontId="0" fillId="8" borderId="8" xfId="0" applyNumberFormat="1" applyFont="1" applyFill="1" applyBorder="1"/>
    <xf numFmtId="0" fontId="14" fillId="8" borderId="53" xfId="0" applyNumberFormat="1" applyFont="1" applyFill="1" applyBorder="1"/>
    <xf numFmtId="3" fontId="11" fillId="8" borderId="53" xfId="0" applyNumberFormat="1" applyFont="1" applyFill="1" applyBorder="1" applyProtection="1">
      <protection locked="0"/>
    </xf>
    <xf numFmtId="0" fontId="0" fillId="8" borderId="53" xfId="0" applyNumberFormat="1" applyFont="1" applyFill="1" applyBorder="1"/>
    <xf numFmtId="164" fontId="11" fillId="8" borderId="53" xfId="0" applyNumberFormat="1" applyFont="1" applyFill="1" applyBorder="1" applyProtection="1">
      <protection locked="0"/>
    </xf>
    <xf numFmtId="0" fontId="0" fillId="8" borderId="54" xfId="0" applyNumberFormat="1" applyFont="1" applyFill="1" applyBorder="1"/>
    <xf numFmtId="0" fontId="14" fillId="8" borderId="55" xfId="0" applyNumberFormat="1" applyFont="1" applyFill="1" applyBorder="1"/>
    <xf numFmtId="3" fontId="11" fillId="8" borderId="55" xfId="0" applyNumberFormat="1" applyFont="1" applyFill="1" applyBorder="1"/>
    <xf numFmtId="0" fontId="0" fillId="8" borderId="55" xfId="0" applyNumberFormat="1" applyFont="1" applyFill="1" applyBorder="1"/>
    <xf numFmtId="164" fontId="11" fillId="8" borderId="55" xfId="0" applyNumberFormat="1" applyFont="1" applyFill="1" applyBorder="1"/>
    <xf numFmtId="0" fontId="0" fillId="8" borderId="66" xfId="0" applyNumberFormat="1" applyFont="1" applyFill="1" applyBorder="1"/>
    <xf numFmtId="0" fontId="0" fillId="8" borderId="67" xfId="0" applyNumberFormat="1" applyFont="1" applyFill="1" applyBorder="1"/>
    <xf numFmtId="0" fontId="0" fillId="8" borderId="58" xfId="0" applyNumberFormat="1" applyFont="1" applyFill="1" applyBorder="1"/>
    <xf numFmtId="0" fontId="0" fillId="8" borderId="56" xfId="0" applyNumberFormat="1" applyFont="1" applyFill="1" applyBorder="1"/>
    <xf numFmtId="0" fontId="0" fillId="8" borderId="1" xfId="0" applyNumberFormat="1" applyFont="1" applyFill="1" applyBorder="1"/>
    <xf numFmtId="0" fontId="0" fillId="8" borderId="4" xfId="0" applyNumberFormat="1" applyFont="1" applyFill="1" applyBorder="1"/>
    <xf numFmtId="0" fontId="0" fillId="8" borderId="10" xfId="0" applyNumberFormat="1" applyFont="1" applyFill="1" applyBorder="1"/>
    <xf numFmtId="0" fontId="0" fillId="0" borderId="51" xfId="0" applyNumberFormat="1" applyFont="1" applyFill="1" applyBorder="1"/>
    <xf numFmtId="0" fontId="0" fillId="0" borderId="53" xfId="0" applyNumberFormat="1" applyFont="1" applyFill="1" applyBorder="1"/>
    <xf numFmtId="0" fontId="0" fillId="0" borderId="55" xfId="0" applyNumberFormat="1" applyFont="1" applyFill="1" applyBorder="1"/>
    <xf numFmtId="0" fontId="0" fillId="8" borderId="21" xfId="0" applyFont="1" applyFill="1" applyBorder="1"/>
    <xf numFmtId="0" fontId="0" fillId="8" borderId="61" xfId="0" applyNumberFormat="1" applyFont="1" applyFill="1" applyBorder="1" applyAlignment="1"/>
    <xf numFmtId="0" fontId="0" fillId="8" borderId="61" xfId="0" applyFont="1" applyFill="1" applyBorder="1"/>
    <xf numFmtId="0" fontId="0" fillId="8" borderId="20" xfId="0" applyFont="1" applyFill="1" applyBorder="1"/>
    <xf numFmtId="0" fontId="0" fillId="8" borderId="68" xfId="0" applyFill="1" applyBorder="1"/>
    <xf numFmtId="0" fontId="0" fillId="0" borderId="68" xfId="0" applyNumberFormat="1" applyFill="1" applyBorder="1" applyProtection="1">
      <protection locked="0"/>
    </xf>
    <xf numFmtId="0" fontId="0" fillId="0" borderId="20" xfId="0" applyNumberFormat="1" applyFill="1" applyBorder="1" applyProtection="1">
      <protection locked="0"/>
    </xf>
    <xf numFmtId="0" fontId="0" fillId="8" borderId="16" xfId="0" applyFont="1" applyFill="1" applyBorder="1"/>
    <xf numFmtId="0" fontId="0" fillId="8" borderId="44" xfId="0" applyNumberFormat="1" applyFill="1" applyBorder="1"/>
    <xf numFmtId="0" fontId="0" fillId="8" borderId="44" xfId="0" applyNumberFormat="1" applyFill="1" applyBorder="1" applyProtection="1">
      <protection locked="0"/>
    </xf>
    <xf numFmtId="0" fontId="11" fillId="0" borderId="41" xfId="0" applyFont="1" applyBorder="1"/>
    <xf numFmtId="0" fontId="11" fillId="0" borderId="4" xfId="0" applyFont="1" applyBorder="1"/>
    <xf numFmtId="0" fontId="0" fillId="0" borderId="31" xfId="0" applyFill="1" applyBorder="1"/>
    <xf numFmtId="0" fontId="2" fillId="0" borderId="59" xfId="0" applyFont="1" applyBorder="1" applyAlignment="1">
      <alignment horizontal="center" vertical="center"/>
    </xf>
    <xf numFmtId="0" fontId="0" fillId="0" borderId="32" xfId="0" applyBorder="1"/>
    <xf numFmtId="164" fontId="8" fillId="9" borderId="42" xfId="0" applyNumberFormat="1" applyFont="1" applyFill="1" applyBorder="1"/>
    <xf numFmtId="164" fontId="8" fillId="9" borderId="70" xfId="0" applyNumberFormat="1" applyFont="1" applyFill="1" applyBorder="1"/>
    <xf numFmtId="164" fontId="8" fillId="9" borderId="71" xfId="0" applyNumberFormat="1" applyFont="1" applyFill="1" applyBorder="1"/>
    <xf numFmtId="164" fontId="8" fillId="9" borderId="72" xfId="0" applyNumberFormat="1" applyFont="1" applyFill="1" applyBorder="1" applyAlignment="1"/>
    <xf numFmtId="164" fontId="8" fillId="9" borderId="22" xfId="0" applyNumberFormat="1" applyFont="1" applyFill="1" applyBorder="1" applyAlignment="1"/>
    <xf numFmtId="0" fontId="8" fillId="9" borderId="72" xfId="0" applyFont="1" applyFill="1" applyBorder="1"/>
    <xf numFmtId="0" fontId="0" fillId="0" borderId="73" xfId="0" applyFont="1" applyBorder="1"/>
    <xf numFmtId="0" fontId="1" fillId="0" borderId="6" xfId="0" applyNumberFormat="1" applyFont="1" applyFill="1" applyBorder="1" applyAlignment="1"/>
    <xf numFmtId="0" fontId="1" fillId="0" borderId="2" xfId="0" applyNumberFormat="1" applyFont="1" applyFill="1" applyBorder="1" applyAlignment="1"/>
    <xf numFmtId="0" fontId="0" fillId="0" borderId="0" xfId="0"/>
    <xf numFmtId="164" fontId="4" fillId="4" borderId="29" xfId="0" applyNumberFormat="1" applyFont="1" applyFill="1" applyBorder="1" applyAlignment="1">
      <alignment horizontal="center" vertical="center"/>
    </xf>
    <xf numFmtId="0" fontId="1" fillId="0" borderId="64" xfId="0" applyNumberFormat="1" applyFont="1" applyFill="1" applyBorder="1" applyAlignment="1"/>
    <xf numFmtId="0" fontId="1" fillId="0" borderId="63" xfId="0" applyNumberFormat="1" applyFont="1" applyFill="1" applyBorder="1" applyAlignment="1"/>
    <xf numFmtId="0" fontId="1" fillId="0" borderId="17" xfId="0" applyNumberFormat="1" applyFont="1" applyFill="1" applyBorder="1" applyAlignment="1"/>
    <xf numFmtId="0" fontId="1" fillId="0" borderId="38" xfId="0" applyNumberFormat="1" applyFont="1" applyFill="1" applyBorder="1" applyAlignment="1"/>
    <xf numFmtId="0" fontId="1" fillId="0" borderId="31" xfId="0" applyNumberFormat="1" applyFont="1" applyFill="1" applyBorder="1" applyAlignment="1"/>
    <xf numFmtId="0" fontId="0" fillId="0" borderId="53" xfId="0" applyBorder="1"/>
    <xf numFmtId="0" fontId="0" fillId="0" borderId="51" xfId="0" applyBorder="1"/>
    <xf numFmtId="0" fontId="0" fillId="0" borderId="52" xfId="0" applyBorder="1"/>
    <xf numFmtId="0" fontId="0" fillId="0" borderId="54" xfId="0" applyBorder="1"/>
    <xf numFmtId="0" fontId="0" fillId="0" borderId="60" xfId="0" applyBorder="1"/>
    <xf numFmtId="0" fontId="0" fillId="0" borderId="21" xfId="0" applyBorder="1"/>
    <xf numFmtId="0" fontId="0" fillId="0" borderId="61" xfId="0" applyBorder="1"/>
    <xf numFmtId="0" fontId="0" fillId="0" borderId="62" xfId="0" applyBorder="1"/>
    <xf numFmtId="0" fontId="0" fillId="0" borderId="59" xfId="0" applyBorder="1"/>
    <xf numFmtId="0" fontId="0" fillId="0" borderId="44" xfId="0" applyBorder="1"/>
    <xf numFmtId="0" fontId="0" fillId="0" borderId="69" xfId="0" applyBorder="1"/>
    <xf numFmtId="0" fontId="5" fillId="2" borderId="45" xfId="0" applyFont="1" applyFill="1" applyBorder="1" applyAlignment="1">
      <alignment horizontal="center" vertical="center" wrapText="1"/>
    </xf>
    <xf numFmtId="0" fontId="0" fillId="0" borderId="5" xfId="0" applyBorder="1"/>
    <xf numFmtId="0" fontId="6" fillId="2" borderId="74" xfId="0" applyFont="1" applyFill="1" applyBorder="1" applyAlignment="1">
      <alignment horizontal="center" vertical="center"/>
    </xf>
    <xf numFmtId="0" fontId="0" fillId="0" borderId="18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164" fontId="4" fillId="4" borderId="9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horizontal="center" vertical="center"/>
    </xf>
    <xf numFmtId="164" fontId="10" fillId="4" borderId="2" xfId="0" applyNumberFormat="1" applyFont="1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/>
    </xf>
    <xf numFmtId="164" fontId="0" fillId="9" borderId="4" xfId="0" applyNumberFormat="1" applyFill="1" applyBorder="1" applyAlignment="1">
      <alignment horizontal="center"/>
    </xf>
    <xf numFmtId="0" fontId="6" fillId="2" borderId="8" xfId="0" applyFont="1" applyFill="1" applyBorder="1" applyAlignment="1">
      <alignment horizontal="center" vertical="center"/>
    </xf>
    <xf numFmtId="164" fontId="4" fillId="5" borderId="3" xfId="0" applyNumberFormat="1" applyFont="1" applyFill="1" applyBorder="1" applyAlignment="1">
      <alignment horizontal="center" vertical="center"/>
    </xf>
    <xf numFmtId="164" fontId="4" fillId="4" borderId="12" xfId="0" applyNumberFormat="1" applyFont="1" applyFill="1" applyBorder="1" applyAlignment="1">
      <alignment horizontal="center" vertical="center"/>
    </xf>
    <xf numFmtId="0" fontId="0" fillId="0" borderId="0" xfId="0"/>
    <xf numFmtId="164" fontId="4" fillId="6" borderId="3" xfId="0" applyNumberFormat="1" applyFont="1" applyFill="1" applyBorder="1" applyAlignment="1">
      <alignment horizontal="center" vertical="center"/>
    </xf>
    <xf numFmtId="164" fontId="4" fillId="4" borderId="15" xfId="0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164" fontId="4" fillId="4" borderId="13" xfId="0" applyNumberFormat="1" applyFont="1" applyFill="1" applyBorder="1" applyAlignment="1">
      <alignment horizontal="center" vertical="center"/>
    </xf>
    <xf numFmtId="164" fontId="4" fillId="4" borderId="27" xfId="0" applyNumberFormat="1" applyFont="1" applyFill="1" applyBorder="1" applyAlignment="1">
      <alignment horizontal="center" vertical="center"/>
    </xf>
    <xf numFmtId="164" fontId="4" fillId="4" borderId="29" xfId="0" applyNumberFormat="1" applyFont="1" applyFill="1" applyBorder="1" applyAlignment="1">
      <alignment horizontal="center" vertical="center"/>
    </xf>
    <xf numFmtId="164" fontId="10" fillId="4" borderId="31" xfId="0" applyNumberFormat="1" applyFont="1" applyFill="1" applyBorder="1" applyAlignment="1">
      <alignment horizontal="center" vertical="center" wrapText="1"/>
    </xf>
    <xf numFmtId="164" fontId="10" fillId="4" borderId="14" xfId="0" applyNumberFormat="1" applyFont="1" applyFill="1" applyBorder="1" applyAlignment="1">
      <alignment horizontal="center" vertical="center" wrapText="1"/>
    </xf>
    <xf numFmtId="164" fontId="10" fillId="4" borderId="33" xfId="0" applyNumberFormat="1" applyFont="1" applyFill="1" applyBorder="1" applyAlignment="1">
      <alignment horizontal="center" vertical="center" wrapText="1"/>
    </xf>
    <xf numFmtId="164" fontId="10" fillId="4" borderId="34" xfId="0" applyNumberFormat="1" applyFont="1" applyFill="1" applyBorder="1" applyAlignment="1">
      <alignment horizontal="center" vertical="center" wrapText="1"/>
    </xf>
    <xf numFmtId="164" fontId="13" fillId="3" borderId="2" xfId="0" applyNumberFormat="1" applyFont="1" applyFill="1" applyBorder="1" applyAlignment="1">
      <alignment horizontal="center" vertical="center" wrapText="1"/>
    </xf>
    <xf numFmtId="164" fontId="13" fillId="8" borderId="2" xfId="0" applyNumberFormat="1" applyFont="1" applyFill="1" applyBorder="1" applyAlignment="1">
      <alignment horizontal="center" vertical="center"/>
    </xf>
    <xf numFmtId="164" fontId="13" fillId="3" borderId="8" xfId="0" applyNumberFormat="1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/>
    </xf>
    <xf numFmtId="164" fontId="4" fillId="3" borderId="10" xfId="0" applyNumberFormat="1" applyFont="1" applyFill="1" applyBorder="1" applyAlignment="1">
      <alignment horizontal="center" vertical="center"/>
    </xf>
    <xf numFmtId="164" fontId="4" fillId="3" borderId="11" xfId="0" applyNumberFormat="1" applyFont="1" applyFill="1" applyBorder="1" applyAlignment="1">
      <alignment horizontal="center" vertical="center"/>
    </xf>
    <xf numFmtId="164" fontId="5" fillId="9" borderId="31" xfId="0" applyNumberFormat="1" applyFont="1" applyFill="1" applyBorder="1" applyAlignment="1">
      <alignment horizontal="center" vertical="center"/>
    </xf>
    <xf numFmtId="164" fontId="9" fillId="4" borderId="29" xfId="0" applyNumberFormat="1" applyFont="1" applyFill="1" applyBorder="1" applyAlignment="1">
      <alignment horizontal="center" vertical="center" wrapText="1"/>
    </xf>
    <xf numFmtId="0" fontId="1" fillId="0" borderId="34" xfId="0" applyNumberFormat="1" applyFont="1" applyFill="1" applyBorder="1" applyAlignment="1"/>
    <xf numFmtId="0" fontId="1" fillId="0" borderId="35" xfId="0" applyNumberFormat="1" applyFont="1" applyFill="1" applyBorder="1" applyAlignment="1"/>
    <xf numFmtId="0" fontId="1" fillId="0" borderId="36" xfId="0" applyNumberFormat="1" applyFont="1" applyFill="1" applyBorder="1" applyAlignment="1"/>
    <xf numFmtId="0" fontId="6" fillId="2" borderId="30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11" fillId="0" borderId="5" xfId="0" applyFont="1" applyFill="1" applyBorder="1"/>
    <xf numFmtId="0" fontId="11" fillId="0" borderId="5" xfId="0" applyFont="1" applyBorder="1"/>
    <xf numFmtId="0" fontId="5" fillId="2" borderId="59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0" fillId="0" borderId="64" xfId="0" applyBorder="1"/>
    <xf numFmtId="0" fontId="6" fillId="2" borderId="27" xfId="0" applyFont="1" applyFill="1" applyBorder="1" applyAlignment="1">
      <alignment horizontal="center" vertical="center"/>
    </xf>
    <xf numFmtId="164" fontId="10" fillId="4" borderId="29" xfId="0" applyNumberFormat="1" applyFont="1" applyFill="1" applyBorder="1" applyAlignment="1">
      <alignment horizontal="center" vertical="center" wrapText="1"/>
    </xf>
    <xf numFmtId="164" fontId="10" fillId="4" borderId="75" xfId="0" applyNumberFormat="1" applyFont="1" applyFill="1" applyBorder="1" applyAlignment="1">
      <alignment horizontal="center" vertical="center" wrapText="1"/>
    </xf>
    <xf numFmtId="0" fontId="6" fillId="2" borderId="76" xfId="0" applyFont="1" applyFill="1" applyBorder="1" applyAlignment="1">
      <alignment horizontal="center" vertical="center"/>
    </xf>
    <xf numFmtId="0" fontId="0" fillId="0" borderId="77" xfId="0" applyBorder="1"/>
    <xf numFmtId="0" fontId="0" fillId="0" borderId="48" xfId="0" applyFont="1" applyBorder="1"/>
    <xf numFmtId="0" fontId="0" fillId="0" borderId="78" xfId="0" applyBorder="1"/>
    <xf numFmtId="0" fontId="0" fillId="0" borderId="49" xfId="0" applyFont="1" applyBorder="1"/>
    <xf numFmtId="0" fontId="0" fillId="0" borderId="79" xfId="0" applyBorder="1"/>
    <xf numFmtId="0" fontId="0" fillId="8" borderId="79" xfId="0" applyFont="1" applyFill="1" applyBorder="1"/>
    <xf numFmtId="0" fontId="0" fillId="0" borderId="79" xfId="0" applyNumberFormat="1" applyFill="1" applyBorder="1" applyProtection="1">
      <protection locked="0"/>
    </xf>
    <xf numFmtId="0" fontId="0" fillId="0" borderId="80" xfId="0" applyBorder="1"/>
    <xf numFmtId="0" fontId="0" fillId="8" borderId="41" xfId="0" applyFill="1" applyBorder="1"/>
    <xf numFmtId="0" fontId="0" fillId="0" borderId="50" xfId="0" applyNumberFormat="1" applyFill="1" applyBorder="1" applyProtection="1">
      <protection locked="0"/>
    </xf>
    <xf numFmtId="0" fontId="0" fillId="0" borderId="81" xfId="0" applyBorder="1"/>
    <xf numFmtId="0" fontId="0" fillId="0" borderId="14" xfId="0" applyFont="1" applyBorder="1"/>
    <xf numFmtId="0" fontId="0" fillId="0" borderId="5" xfId="0" applyFont="1" applyBorder="1"/>
    <xf numFmtId="0" fontId="11" fillId="0" borderId="40" xfId="0" applyFont="1" applyBorder="1"/>
  </cellXfs>
  <cellStyles count="1">
    <cellStyle name="Normal" xfId="0" builtinId="0"/>
  </cellStyles>
  <dxfs count="10">
    <dxf>
      <font>
        <b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 val="0"/>
        <condense val="0"/>
        <extend val="0"/>
        <color indexed="10"/>
      </font>
    </dxf>
    <dxf>
      <font>
        <b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A0D21-95BB-44DE-B904-B02113972AE6}">
  <sheetPr codeName="Feuil1">
    <pageSetUpPr fitToPage="1"/>
  </sheetPr>
  <dimension ref="A1:Q43"/>
  <sheetViews>
    <sheetView zoomScale="85" zoomScaleNormal="100" workbookViewId="0">
      <selection activeCell="A4" sqref="A4:XFD4"/>
    </sheetView>
  </sheetViews>
  <sheetFormatPr defaultRowHeight="12.75" x14ac:dyDescent="0.2"/>
  <cols>
    <col min="1" max="1" width="16.140625" bestFit="1" customWidth="1"/>
    <col min="2" max="2" width="49.5703125" bestFit="1" customWidth="1"/>
    <col min="3" max="3" width="16" bestFit="1" customWidth="1"/>
    <col min="4" max="4" width="11" style="1" bestFit="1" customWidth="1"/>
    <col min="5" max="5" width="8.5703125" style="1" bestFit="1" customWidth="1"/>
    <col min="6" max="6" width="13" style="1" bestFit="1" customWidth="1"/>
    <col min="7" max="7" width="6.140625" style="1" bestFit="1" customWidth="1"/>
    <col min="8" max="8" width="8.85546875" style="1" bestFit="1" customWidth="1"/>
    <col min="9" max="9" width="9.140625" style="1" bestFit="1" customWidth="1"/>
    <col min="10" max="10" width="13" style="1" bestFit="1" customWidth="1"/>
    <col min="11" max="11" width="24.140625" style="1" bestFit="1" customWidth="1"/>
    <col min="12" max="12" width="13.140625" style="1" bestFit="1" customWidth="1"/>
    <col min="13" max="13" width="12" style="1" bestFit="1" customWidth="1"/>
    <col min="14" max="14" width="24.140625" style="1" bestFit="1" customWidth="1"/>
    <col min="15" max="15" width="21.28515625" style="1" bestFit="1" customWidth="1"/>
    <col min="16" max="16" width="14.85546875" bestFit="1" customWidth="1"/>
    <col min="17" max="256" width="9.140625" bestFit="1" customWidth="1"/>
  </cols>
  <sheetData>
    <row r="1" spans="1:17" ht="20.25" x14ac:dyDescent="0.2">
      <c r="B1" s="339" t="s">
        <v>456</v>
      </c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"/>
    </row>
    <row r="2" spans="1:17" ht="20.25" x14ac:dyDescent="0.2">
      <c r="B2" s="340"/>
      <c r="C2" s="340"/>
      <c r="D2" s="340"/>
      <c r="E2" s="340"/>
      <c r="F2" s="340"/>
      <c r="G2" s="340"/>
      <c r="H2" s="340"/>
      <c r="I2" s="340"/>
      <c r="J2" s="340"/>
      <c r="K2" s="340"/>
      <c r="L2" s="340"/>
      <c r="M2" s="340"/>
      <c r="N2" s="340"/>
      <c r="O2" s="340"/>
      <c r="P2" s="3"/>
    </row>
    <row r="3" spans="1:17" ht="20.25" x14ac:dyDescent="0.2">
      <c r="B3" s="336"/>
      <c r="C3" s="341" t="s">
        <v>1</v>
      </c>
      <c r="D3" s="341"/>
      <c r="E3" s="341"/>
      <c r="F3" s="341"/>
      <c r="G3" s="341"/>
      <c r="H3" s="341"/>
      <c r="I3" s="341"/>
      <c r="J3" s="341"/>
      <c r="K3" s="341"/>
      <c r="L3" s="342" t="s">
        <v>2</v>
      </c>
      <c r="M3" s="342"/>
      <c r="N3" s="342"/>
      <c r="O3" s="5" t="s">
        <v>3</v>
      </c>
      <c r="P3" s="42" t="s">
        <v>4</v>
      </c>
    </row>
    <row r="4" spans="1:17" ht="31.5" x14ac:dyDescent="0.2">
      <c r="A4" s="335" t="s">
        <v>455</v>
      </c>
      <c r="B4" s="337" t="s">
        <v>5</v>
      </c>
      <c r="C4" s="116" t="s">
        <v>6</v>
      </c>
      <c r="D4" s="117" t="s">
        <v>7</v>
      </c>
      <c r="E4" s="117" t="s">
        <v>8</v>
      </c>
      <c r="F4" s="117" t="s">
        <v>9</v>
      </c>
      <c r="G4" s="117" t="s">
        <v>10</v>
      </c>
      <c r="H4" s="117" t="s">
        <v>11</v>
      </c>
      <c r="I4" s="117" t="s">
        <v>12</v>
      </c>
      <c r="J4" s="117" t="s">
        <v>13</v>
      </c>
      <c r="K4" s="118" t="s">
        <v>14</v>
      </c>
      <c r="L4" s="119" t="s">
        <v>15</v>
      </c>
      <c r="M4" s="120" t="s">
        <v>16</v>
      </c>
      <c r="N4" s="121" t="s">
        <v>14</v>
      </c>
      <c r="O4" s="122" t="s">
        <v>17</v>
      </c>
      <c r="P4" s="123" t="s">
        <v>18</v>
      </c>
      <c r="Q4" s="15"/>
    </row>
    <row r="5" spans="1:17" x14ac:dyDescent="0.2">
      <c r="A5" s="333"/>
      <c r="B5" s="25" t="s">
        <v>19</v>
      </c>
      <c r="C5" s="319"/>
      <c r="D5" s="315"/>
      <c r="E5" s="315"/>
      <c r="F5" s="315"/>
      <c r="G5" s="315"/>
      <c r="H5" s="315"/>
      <c r="I5" s="315"/>
      <c r="J5" s="315"/>
      <c r="K5" s="168"/>
      <c r="L5" s="315"/>
      <c r="M5" s="315"/>
      <c r="N5" s="170"/>
      <c r="O5" s="315"/>
      <c r="P5" s="124"/>
    </row>
    <row r="6" spans="1:17" x14ac:dyDescent="0.2">
      <c r="A6" s="333"/>
      <c r="B6" s="25" t="s">
        <v>21</v>
      </c>
      <c r="C6" s="319"/>
      <c r="D6" s="315"/>
      <c r="E6" s="315"/>
      <c r="F6" s="315"/>
      <c r="G6" s="315"/>
      <c r="H6" s="315"/>
      <c r="I6" s="315"/>
      <c r="J6" s="315"/>
      <c r="K6" s="168"/>
      <c r="L6" s="315"/>
      <c r="M6" s="315"/>
      <c r="N6" s="170"/>
      <c r="O6" s="315"/>
      <c r="P6" s="124"/>
    </row>
    <row r="7" spans="1:17" x14ac:dyDescent="0.2">
      <c r="A7" s="333"/>
      <c r="B7" s="25" t="s">
        <v>23</v>
      </c>
      <c r="C7" s="319"/>
      <c r="D7" s="315"/>
      <c r="E7" s="315"/>
      <c r="F7" s="315"/>
      <c r="G7" s="315"/>
      <c r="H7" s="315"/>
      <c r="I7" s="315"/>
      <c r="J7" s="315"/>
      <c r="K7" s="168"/>
      <c r="L7" s="315"/>
      <c r="M7" s="315"/>
      <c r="N7" s="170"/>
      <c r="O7" s="315"/>
      <c r="P7" s="124"/>
    </row>
    <row r="8" spans="1:17" x14ac:dyDescent="0.2">
      <c r="A8" s="333"/>
      <c r="B8" s="25" t="s">
        <v>24</v>
      </c>
      <c r="C8" s="319"/>
      <c r="D8" s="315"/>
      <c r="E8" s="315"/>
      <c r="F8" s="315"/>
      <c r="G8" s="315"/>
      <c r="H8" s="315"/>
      <c r="I8" s="315"/>
      <c r="J8" s="315"/>
      <c r="K8" s="168"/>
      <c r="L8" s="315"/>
      <c r="M8" s="315"/>
      <c r="N8" s="170"/>
      <c r="O8" s="315"/>
      <c r="P8" s="124"/>
    </row>
    <row r="9" spans="1:17" x14ac:dyDescent="0.2">
      <c r="A9" s="333"/>
      <c r="B9" s="25" t="s">
        <v>25</v>
      </c>
      <c r="C9" s="319"/>
      <c r="D9" s="315"/>
      <c r="E9" s="315"/>
      <c r="F9" s="315"/>
      <c r="G9" s="315"/>
      <c r="H9" s="315"/>
      <c r="I9" s="315"/>
      <c r="J9" s="315"/>
      <c r="K9" s="168"/>
      <c r="L9" s="315"/>
      <c r="M9" s="315"/>
      <c r="N9" s="170"/>
      <c r="O9" s="315"/>
      <c r="P9" s="124"/>
    </row>
    <row r="10" spans="1:17" x14ac:dyDescent="0.2">
      <c r="A10" s="333"/>
      <c r="B10" s="25" t="s">
        <v>26</v>
      </c>
      <c r="C10" s="319"/>
      <c r="D10" s="315"/>
      <c r="E10" s="315"/>
      <c r="F10" s="315"/>
      <c r="G10" s="315"/>
      <c r="H10" s="315"/>
      <c r="I10" s="315"/>
      <c r="J10" s="315"/>
      <c r="K10" s="168"/>
      <c r="L10" s="315"/>
      <c r="M10" s="315"/>
      <c r="N10" s="170"/>
      <c r="O10" s="315"/>
      <c r="P10" s="124"/>
    </row>
    <row r="11" spans="1:17" x14ac:dyDescent="0.2">
      <c r="A11" s="333"/>
      <c r="B11" s="25" t="s">
        <v>27</v>
      </c>
      <c r="C11" s="319"/>
      <c r="D11" s="315"/>
      <c r="E11" s="315"/>
      <c r="F11" s="315"/>
      <c r="G11" s="315"/>
      <c r="H11" s="315"/>
      <c r="I11" s="315"/>
      <c r="J11" s="315"/>
      <c r="K11" s="168"/>
      <c r="L11" s="315"/>
      <c r="M11" s="315"/>
      <c r="N11" s="170"/>
      <c r="O11" s="315"/>
      <c r="P11" s="124"/>
    </row>
    <row r="12" spans="1:17" x14ac:dyDescent="0.2">
      <c r="A12" s="333"/>
      <c r="B12" s="25" t="s">
        <v>28</v>
      </c>
      <c r="C12" s="319"/>
      <c r="D12" s="315"/>
      <c r="E12" s="315"/>
      <c r="F12" s="315"/>
      <c r="G12" s="315"/>
      <c r="H12" s="315"/>
      <c r="I12" s="315"/>
      <c r="J12" s="315"/>
      <c r="K12" s="168"/>
      <c r="L12" s="315"/>
      <c r="M12" s="315"/>
      <c r="N12" s="170"/>
      <c r="O12" s="315"/>
      <c r="P12" s="124"/>
    </row>
    <row r="13" spans="1:17" x14ac:dyDescent="0.2">
      <c r="A13" s="333"/>
      <c r="B13" s="25" t="s">
        <v>29</v>
      </c>
      <c r="C13" s="319"/>
      <c r="D13" s="315"/>
      <c r="E13" s="315"/>
      <c r="F13" s="315"/>
      <c r="G13" s="315"/>
      <c r="H13" s="315"/>
      <c r="I13" s="315"/>
      <c r="J13" s="315"/>
      <c r="K13" s="168"/>
      <c r="L13" s="315"/>
      <c r="M13" s="315"/>
      <c r="N13" s="170"/>
      <c r="O13" s="315"/>
      <c r="P13" s="124"/>
    </row>
    <row r="14" spans="1:17" x14ac:dyDescent="0.2">
      <c r="A14" s="333"/>
      <c r="B14" s="25" t="s">
        <v>30</v>
      </c>
      <c r="C14" s="319"/>
      <c r="D14" s="315"/>
      <c r="E14" s="315"/>
      <c r="F14" s="315"/>
      <c r="G14" s="315"/>
      <c r="H14" s="315"/>
      <c r="I14" s="315"/>
      <c r="J14" s="315"/>
      <c r="K14" s="168"/>
      <c r="L14" s="315"/>
      <c r="M14" s="315"/>
      <c r="N14" s="170"/>
      <c r="O14" s="315"/>
      <c r="P14" s="124"/>
    </row>
    <row r="15" spans="1:17" x14ac:dyDescent="0.2">
      <c r="A15" s="333"/>
      <c r="B15" s="25" t="s">
        <v>31</v>
      </c>
      <c r="C15" s="319"/>
      <c r="D15" s="315"/>
      <c r="E15" s="315"/>
      <c r="F15" s="315"/>
      <c r="G15" s="315"/>
      <c r="H15" s="315"/>
      <c r="I15" s="315"/>
      <c r="J15" s="315"/>
      <c r="K15" s="168"/>
      <c r="L15" s="315"/>
      <c r="M15" s="315"/>
      <c r="N15" s="170"/>
      <c r="O15" s="315"/>
      <c r="P15" s="124"/>
    </row>
    <row r="16" spans="1:17" x14ac:dyDescent="0.2">
      <c r="A16" s="334"/>
      <c r="B16" s="143" t="s">
        <v>32</v>
      </c>
      <c r="C16" s="320"/>
      <c r="D16" s="321"/>
      <c r="E16" s="321"/>
      <c r="F16" s="321"/>
      <c r="G16" s="321"/>
      <c r="H16" s="321"/>
      <c r="I16" s="321"/>
      <c r="J16" s="321"/>
      <c r="K16" s="197"/>
      <c r="L16" s="321"/>
      <c r="M16" s="321"/>
      <c r="N16" s="172"/>
      <c r="O16" s="321"/>
      <c r="P16" s="125"/>
    </row>
    <row r="17" spans="1:16" ht="15.75" x14ac:dyDescent="0.25">
      <c r="B17" s="24" t="s">
        <v>33</v>
      </c>
      <c r="C17" s="25"/>
      <c r="D17" s="62">
        <f>SUM($D$5:$D$16)</f>
        <v>0</v>
      </c>
      <c r="E17" s="112">
        <f>SUM($E$5:$E$16)</f>
        <v>0</v>
      </c>
      <c r="F17" s="112">
        <f>SUM($F$5:$F$16)</f>
        <v>0</v>
      </c>
      <c r="G17" s="112">
        <f>SUM($G$5:$G$16)</f>
        <v>0</v>
      </c>
      <c r="H17" s="112">
        <f>SUM($H$5:$H$16)</f>
        <v>0</v>
      </c>
      <c r="I17" s="112">
        <f>SUM($I$5:$I$16)</f>
        <v>0</v>
      </c>
      <c r="J17" s="112">
        <f>SUM($J$5:$J$16)</f>
        <v>0</v>
      </c>
      <c r="K17" s="113"/>
      <c r="L17" s="112">
        <f>SUM(L5:L16)</f>
        <v>0</v>
      </c>
      <c r="M17" s="112">
        <f>SUM(M5:M16)</f>
        <v>0</v>
      </c>
      <c r="N17" s="114"/>
      <c r="O17" s="115"/>
      <c r="P17" s="112">
        <f>SUM(P5:P16)</f>
        <v>0</v>
      </c>
    </row>
    <row r="18" spans="1:16" x14ac:dyDescent="0.2">
      <c r="B18" s="25"/>
      <c r="C18" s="25"/>
      <c r="D18" s="19"/>
      <c r="E18" s="18"/>
      <c r="F18" s="18"/>
      <c r="G18" s="18"/>
      <c r="H18" s="18"/>
      <c r="I18" s="18"/>
      <c r="J18" s="18"/>
      <c r="K18" s="195"/>
      <c r="L18" s="18"/>
      <c r="M18" s="18"/>
      <c r="N18" s="170"/>
      <c r="O18" s="29"/>
      <c r="P18" s="30"/>
    </row>
    <row r="19" spans="1:16" x14ac:dyDescent="0.2">
      <c r="B19" s="25"/>
      <c r="C19" s="25"/>
      <c r="D19" s="18"/>
      <c r="E19" s="18"/>
      <c r="F19" s="18"/>
      <c r="G19" s="18"/>
      <c r="H19" s="18"/>
      <c r="I19" s="18"/>
      <c r="J19" s="18"/>
      <c r="K19" s="195"/>
      <c r="L19" s="18"/>
      <c r="M19" s="18"/>
      <c r="N19" s="170"/>
      <c r="O19" s="29"/>
      <c r="P19" s="30"/>
    </row>
    <row r="20" spans="1:16" x14ac:dyDescent="0.2">
      <c r="A20" s="332"/>
      <c r="B20" s="338" t="s">
        <v>34</v>
      </c>
      <c r="C20" s="322"/>
      <c r="D20" s="323"/>
      <c r="E20" s="323"/>
      <c r="F20" s="323"/>
      <c r="G20" s="323"/>
      <c r="H20" s="323"/>
      <c r="I20" s="323"/>
      <c r="J20" s="323"/>
      <c r="K20" s="251"/>
      <c r="L20" s="323"/>
      <c r="M20" s="323"/>
      <c r="N20" s="198"/>
      <c r="O20" s="323"/>
      <c r="P20" s="128"/>
    </row>
    <row r="21" spans="1:16" x14ac:dyDescent="0.2">
      <c r="A21" s="333"/>
      <c r="B21" s="25" t="s">
        <v>35</v>
      </c>
      <c r="C21" s="319"/>
      <c r="D21" s="315"/>
      <c r="E21" s="315"/>
      <c r="F21" s="315"/>
      <c r="G21" s="315"/>
      <c r="H21" s="315"/>
      <c r="I21" s="315"/>
      <c r="J21" s="315"/>
      <c r="K21" s="168"/>
      <c r="L21" s="315"/>
      <c r="M21" s="315"/>
      <c r="N21" s="170"/>
      <c r="O21" s="315"/>
      <c r="P21" s="124"/>
    </row>
    <row r="22" spans="1:16" x14ac:dyDescent="0.2">
      <c r="A22" s="333"/>
      <c r="B22" s="25" t="s">
        <v>36</v>
      </c>
      <c r="C22" s="319"/>
      <c r="D22" s="315"/>
      <c r="E22" s="315"/>
      <c r="F22" s="315"/>
      <c r="G22" s="315"/>
      <c r="H22" s="315"/>
      <c r="I22" s="315"/>
      <c r="J22" s="315"/>
      <c r="K22" s="168"/>
      <c r="L22" s="315"/>
      <c r="M22" s="315"/>
      <c r="N22" s="170"/>
      <c r="O22" s="315"/>
      <c r="P22" s="124"/>
    </row>
    <row r="23" spans="1:16" x14ac:dyDescent="0.2">
      <c r="A23" s="333"/>
      <c r="B23" s="25" t="s">
        <v>37</v>
      </c>
      <c r="C23" s="319"/>
      <c r="D23" s="315"/>
      <c r="E23" s="315"/>
      <c r="F23" s="315"/>
      <c r="G23" s="315"/>
      <c r="H23" s="315"/>
      <c r="I23" s="315"/>
      <c r="J23" s="315"/>
      <c r="K23" s="168"/>
      <c r="L23" s="315"/>
      <c r="M23" s="315"/>
      <c r="N23" s="170"/>
      <c r="O23" s="315"/>
      <c r="P23" s="124"/>
    </row>
    <row r="24" spans="1:16" x14ac:dyDescent="0.2">
      <c r="A24" s="333"/>
      <c r="B24" s="25" t="s">
        <v>38</v>
      </c>
      <c r="C24" s="319"/>
      <c r="D24" s="315"/>
      <c r="E24" s="315"/>
      <c r="F24" s="315"/>
      <c r="G24" s="315"/>
      <c r="H24" s="315"/>
      <c r="I24" s="315"/>
      <c r="J24" s="315"/>
      <c r="K24" s="168"/>
      <c r="L24" s="315"/>
      <c r="M24" s="315"/>
      <c r="N24" s="170"/>
      <c r="O24" s="315"/>
      <c r="P24" s="124"/>
    </row>
    <row r="25" spans="1:16" x14ac:dyDescent="0.2">
      <c r="A25" s="333"/>
      <c r="B25" s="25" t="s">
        <v>39</v>
      </c>
      <c r="C25" s="319"/>
      <c r="D25" s="315"/>
      <c r="E25" s="315"/>
      <c r="F25" s="315"/>
      <c r="G25" s="315"/>
      <c r="H25" s="315"/>
      <c r="I25" s="315"/>
      <c r="J25" s="315"/>
      <c r="K25" s="168"/>
      <c r="L25" s="315"/>
      <c r="M25" s="315"/>
      <c r="N25" s="170"/>
      <c r="O25" s="315"/>
      <c r="P25" s="124"/>
    </row>
    <row r="26" spans="1:16" x14ac:dyDescent="0.2">
      <c r="A26" s="333"/>
      <c r="B26" s="25" t="s">
        <v>40</v>
      </c>
      <c r="C26" s="319"/>
      <c r="D26" s="315"/>
      <c r="E26" s="315"/>
      <c r="F26" s="315"/>
      <c r="G26" s="315"/>
      <c r="H26" s="315"/>
      <c r="I26" s="315"/>
      <c r="J26" s="315"/>
      <c r="K26" s="168"/>
      <c r="L26" s="315"/>
      <c r="M26" s="315"/>
      <c r="N26" s="170"/>
      <c r="O26" s="315"/>
      <c r="P26" s="124"/>
    </row>
    <row r="27" spans="1:16" x14ac:dyDescent="0.2">
      <c r="A27" s="333"/>
      <c r="B27" s="25" t="s">
        <v>41</v>
      </c>
      <c r="C27" s="319"/>
      <c r="D27" s="315"/>
      <c r="E27" s="315"/>
      <c r="F27" s="315"/>
      <c r="G27" s="315"/>
      <c r="H27" s="315"/>
      <c r="I27" s="315"/>
      <c r="J27" s="315"/>
      <c r="K27" s="168"/>
      <c r="L27" s="315"/>
      <c r="M27" s="315"/>
      <c r="N27" s="170"/>
      <c r="O27" s="315"/>
      <c r="P27" s="124"/>
    </row>
    <row r="28" spans="1:16" x14ac:dyDescent="0.2">
      <c r="A28" s="333"/>
      <c r="B28" s="25" t="s">
        <v>42</v>
      </c>
      <c r="C28" s="319"/>
      <c r="D28" s="315"/>
      <c r="E28" s="315"/>
      <c r="F28" s="315"/>
      <c r="G28" s="315"/>
      <c r="H28" s="315"/>
      <c r="I28" s="315"/>
      <c r="J28" s="315"/>
      <c r="K28" s="168"/>
      <c r="L28" s="315"/>
      <c r="M28" s="315"/>
      <c r="N28" s="170"/>
      <c r="O28" s="315"/>
      <c r="P28" s="124"/>
    </row>
    <row r="29" spans="1:16" x14ac:dyDescent="0.2">
      <c r="A29" s="333"/>
      <c r="B29" s="25" t="s">
        <v>43</v>
      </c>
      <c r="C29" s="319"/>
      <c r="D29" s="315"/>
      <c r="E29" s="315"/>
      <c r="F29" s="315"/>
      <c r="G29" s="315"/>
      <c r="H29" s="315"/>
      <c r="I29" s="315"/>
      <c r="J29" s="315"/>
      <c r="K29" s="168"/>
      <c r="L29" s="315"/>
      <c r="M29" s="315"/>
      <c r="N29" s="170"/>
      <c r="O29" s="315"/>
      <c r="P29" s="124"/>
    </row>
    <row r="30" spans="1:16" x14ac:dyDescent="0.2">
      <c r="A30" s="333"/>
      <c r="B30" s="25" t="s">
        <v>44</v>
      </c>
      <c r="C30" s="319"/>
      <c r="D30" s="315"/>
      <c r="E30" s="315"/>
      <c r="F30" s="315"/>
      <c r="G30" s="315"/>
      <c r="H30" s="315"/>
      <c r="I30" s="315"/>
      <c r="J30" s="315"/>
      <c r="K30" s="168"/>
      <c r="L30" s="315"/>
      <c r="M30" s="315"/>
      <c r="N30" s="170"/>
      <c r="O30" s="315"/>
      <c r="P30" s="124"/>
    </row>
    <row r="31" spans="1:16" x14ac:dyDescent="0.2">
      <c r="A31" s="333"/>
      <c r="B31" s="25" t="s">
        <v>45</v>
      </c>
      <c r="C31" s="319"/>
      <c r="D31" s="315"/>
      <c r="E31" s="315"/>
      <c r="F31" s="315"/>
      <c r="G31" s="315"/>
      <c r="H31" s="315"/>
      <c r="I31" s="315"/>
      <c r="J31" s="315"/>
      <c r="K31" s="168"/>
      <c r="L31" s="315"/>
      <c r="M31" s="315"/>
      <c r="N31" s="170"/>
      <c r="O31" s="315"/>
      <c r="P31" s="124"/>
    </row>
    <row r="32" spans="1:16" x14ac:dyDescent="0.2">
      <c r="A32" s="333"/>
      <c r="B32" s="25" t="s">
        <v>46</v>
      </c>
      <c r="C32" s="319"/>
      <c r="D32" s="315"/>
      <c r="E32" s="315"/>
      <c r="F32" s="315"/>
      <c r="G32" s="315"/>
      <c r="H32" s="315"/>
      <c r="I32" s="315"/>
      <c r="J32" s="315"/>
      <c r="K32" s="168"/>
      <c r="L32" s="315"/>
      <c r="M32" s="315"/>
      <c r="N32" s="170"/>
      <c r="O32" s="315"/>
      <c r="P32" s="124"/>
    </row>
    <row r="33" spans="1:16" x14ac:dyDescent="0.2">
      <c r="A33" s="333"/>
      <c r="B33" s="25" t="s">
        <v>47</v>
      </c>
      <c r="C33" s="319"/>
      <c r="D33" s="315"/>
      <c r="E33" s="315"/>
      <c r="F33" s="315"/>
      <c r="G33" s="315"/>
      <c r="H33" s="315"/>
      <c r="I33" s="315"/>
      <c r="J33" s="315"/>
      <c r="K33" s="168"/>
      <c r="L33" s="315"/>
      <c r="M33" s="315"/>
      <c r="N33" s="170"/>
      <c r="O33" s="315"/>
      <c r="P33" s="124"/>
    </row>
    <row r="34" spans="1:16" x14ac:dyDescent="0.2">
      <c r="A34" s="333"/>
      <c r="B34" s="25" t="s">
        <v>48</v>
      </c>
      <c r="C34" s="319"/>
      <c r="D34" s="315"/>
      <c r="E34" s="315"/>
      <c r="F34" s="315"/>
      <c r="G34" s="315"/>
      <c r="H34" s="315"/>
      <c r="I34" s="315"/>
      <c r="J34" s="315"/>
      <c r="K34" s="168"/>
      <c r="L34" s="315"/>
      <c r="M34" s="315"/>
      <c r="N34" s="170"/>
      <c r="O34" s="315"/>
      <c r="P34" s="124"/>
    </row>
    <row r="35" spans="1:16" x14ac:dyDescent="0.2">
      <c r="A35" s="333"/>
      <c r="B35" s="25" t="s">
        <v>49</v>
      </c>
      <c r="C35" s="319"/>
      <c r="D35" s="315"/>
      <c r="E35" s="315"/>
      <c r="F35" s="315"/>
      <c r="G35" s="315"/>
      <c r="H35" s="315"/>
      <c r="I35" s="315"/>
      <c r="J35" s="315"/>
      <c r="K35" s="168"/>
      <c r="L35" s="315"/>
      <c r="M35" s="315"/>
      <c r="N35" s="170"/>
      <c r="O35" s="315"/>
      <c r="P35" s="124"/>
    </row>
    <row r="36" spans="1:16" x14ac:dyDescent="0.2">
      <c r="A36" s="333"/>
      <c r="B36" s="25" t="s">
        <v>50</v>
      </c>
      <c r="C36" s="319"/>
      <c r="D36" s="315"/>
      <c r="E36" s="315"/>
      <c r="F36" s="315"/>
      <c r="G36" s="315"/>
      <c r="H36" s="315"/>
      <c r="I36" s="315"/>
      <c r="J36" s="315"/>
      <c r="K36" s="168"/>
      <c r="L36" s="315"/>
      <c r="M36" s="315"/>
      <c r="N36" s="170"/>
      <c r="O36" s="315"/>
      <c r="P36" s="124"/>
    </row>
    <row r="37" spans="1:16" x14ac:dyDescent="0.2">
      <c r="A37" s="333"/>
      <c r="B37" s="25" t="s">
        <v>51</v>
      </c>
      <c r="C37" s="319"/>
      <c r="D37" s="315"/>
      <c r="E37" s="315"/>
      <c r="F37" s="315"/>
      <c r="G37" s="315"/>
      <c r="H37" s="315"/>
      <c r="I37" s="315"/>
      <c r="J37" s="315"/>
      <c r="K37" s="168"/>
      <c r="L37" s="315"/>
      <c r="M37" s="315"/>
      <c r="N37" s="170"/>
      <c r="O37" s="315"/>
      <c r="P37" s="124"/>
    </row>
    <row r="38" spans="1:16" x14ac:dyDescent="0.2">
      <c r="A38" s="333"/>
      <c r="B38" s="25" t="s">
        <v>52</v>
      </c>
      <c r="C38" s="319" t="s">
        <v>20</v>
      </c>
      <c r="D38" s="315"/>
      <c r="E38" s="315"/>
      <c r="F38" s="315"/>
      <c r="G38" s="315"/>
      <c r="H38" s="315"/>
      <c r="I38" s="315"/>
      <c r="J38" s="315"/>
      <c r="K38" s="168"/>
      <c r="L38" s="315"/>
      <c r="M38" s="315"/>
      <c r="N38" s="170"/>
      <c r="O38" s="315"/>
      <c r="P38" s="124"/>
    </row>
    <row r="39" spans="1:16" x14ac:dyDescent="0.2">
      <c r="A39" s="334"/>
      <c r="B39" s="143" t="s">
        <v>53</v>
      </c>
      <c r="C39" s="320" t="s">
        <v>20</v>
      </c>
      <c r="D39" s="321"/>
      <c r="E39" s="321"/>
      <c r="F39" s="321"/>
      <c r="G39" s="321"/>
      <c r="H39" s="321"/>
      <c r="I39" s="321"/>
      <c r="J39" s="321"/>
      <c r="K39" s="197"/>
      <c r="L39" s="321"/>
      <c r="M39" s="321"/>
      <c r="N39" s="172"/>
      <c r="O39" s="321"/>
      <c r="P39" s="125"/>
    </row>
    <row r="40" spans="1:16" ht="15.75" x14ac:dyDescent="0.25">
      <c r="B40" s="2" t="s">
        <v>33</v>
      </c>
      <c r="C40" s="2"/>
      <c r="D40" s="37">
        <f>SUM($D$20:$D$39)</f>
        <v>0</v>
      </c>
      <c r="E40" s="37">
        <f>SUM($E$20:$E$39)</f>
        <v>0</v>
      </c>
      <c r="F40" s="37">
        <f>SUM($F$20:$F$39)</f>
        <v>0</v>
      </c>
      <c r="G40" s="37">
        <f>SUM($G$20:$G$39)</f>
        <v>0</v>
      </c>
      <c r="H40" s="37">
        <f>SUM($H$20:$H$39)</f>
        <v>0</v>
      </c>
      <c r="I40" s="37">
        <f>SUM($I$20:$I$39)</f>
        <v>0</v>
      </c>
      <c r="J40" s="37">
        <f>SUM($J$20:$J$39)</f>
        <v>0</v>
      </c>
      <c r="K40" s="38"/>
      <c r="L40" s="37">
        <f>SUM(L20:L39)</f>
        <v>0</v>
      </c>
      <c r="M40" s="37">
        <f>SUM(M20:M39)</f>
        <v>0</v>
      </c>
      <c r="N40" s="126"/>
      <c r="O40" s="69"/>
      <c r="P40" s="37">
        <f>SUM(P20:P39)</f>
        <v>0</v>
      </c>
    </row>
    <row r="41" spans="1:16" x14ac:dyDescent="0.2">
      <c r="K41" s="18"/>
    </row>
    <row r="43" spans="1:16" ht="15.75" x14ac:dyDescent="0.25">
      <c r="B43" s="24" t="s">
        <v>54</v>
      </c>
      <c r="D43" s="39">
        <f t="shared" ref="D43:J43" si="0">SUM(D17,D40)</f>
        <v>0</v>
      </c>
      <c r="E43" s="39">
        <f t="shared" si="0"/>
        <v>0</v>
      </c>
      <c r="F43" s="39">
        <f t="shared" si="0"/>
        <v>0</v>
      </c>
      <c r="G43" s="39">
        <f t="shared" si="0"/>
        <v>0</v>
      </c>
      <c r="H43" s="39">
        <f t="shared" si="0"/>
        <v>0</v>
      </c>
      <c r="I43" s="39">
        <f t="shared" si="0"/>
        <v>0</v>
      </c>
      <c r="J43" s="39">
        <f t="shared" si="0"/>
        <v>0</v>
      </c>
      <c r="K43" s="40"/>
      <c r="L43" s="39">
        <f>SUM(L17,L40)</f>
        <v>0</v>
      </c>
      <c r="M43" s="39">
        <f>SUM(M17,M40)</f>
        <v>0</v>
      </c>
      <c r="N43" s="40"/>
      <c r="O43" s="39">
        <f>SUM(P17,P40)</f>
        <v>0</v>
      </c>
    </row>
  </sheetData>
  <mergeCells count="3">
    <mergeCell ref="B1:O2"/>
    <mergeCell ref="C3:K3"/>
    <mergeCell ref="L3:N3"/>
  </mergeCells>
  <conditionalFormatting sqref="E5:E16 M5:N16 E18:E39 M18:N39">
    <cfRule type="cellIs" dxfId="9" priority="1" stopIfTrue="1" operator="greaterThan">
      <formula>0</formula>
    </cfRule>
  </conditionalFormatting>
  <printOptions horizontalCentered="1" verticalCentered="1"/>
  <pageMargins left="0.17986111111111111" right="0.17986111111111111" top="0.98402777777777772" bottom="0.98402777777777772" header="0.51180555555555551" footer="0.51180555555555551"/>
  <pageSetup paperSize="9" scale="63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D1906-03CD-41E5-A092-23EE70F98426}">
  <sheetPr codeName="Feuil2">
    <pageSetUpPr fitToPage="1"/>
  </sheetPr>
  <dimension ref="A1:R201"/>
  <sheetViews>
    <sheetView zoomScale="85" zoomScaleNormal="100" workbookViewId="0">
      <selection activeCell="B1" sqref="B1:P2"/>
    </sheetView>
  </sheetViews>
  <sheetFormatPr defaultRowHeight="12.75" x14ac:dyDescent="0.2"/>
  <cols>
    <col min="1" max="1" width="14.28515625" style="317" customWidth="1"/>
    <col min="2" max="2" width="55.85546875" bestFit="1" customWidth="1"/>
    <col min="3" max="3" width="0" hidden="1" bestFit="1" customWidth="1"/>
    <col min="4" max="4" width="25.5703125" style="1" bestFit="1" customWidth="1"/>
    <col min="5" max="5" width="12" style="1" bestFit="1" customWidth="1"/>
    <col min="6" max="6" width="23.5703125" style="1" bestFit="1" customWidth="1"/>
    <col min="7" max="7" width="0" style="1" hidden="1" bestFit="1" customWidth="1"/>
    <col min="8" max="8" width="9" style="1" bestFit="1" customWidth="1"/>
    <col min="9" max="9" width="22" bestFit="1" customWidth="1"/>
    <col min="10" max="10" width="9.140625" bestFit="1" customWidth="1"/>
    <col min="11" max="11" width="10.28515625" bestFit="1" customWidth="1"/>
    <col min="12" max="13" width="16.5703125" bestFit="1" customWidth="1"/>
    <col min="14" max="14" width="22" bestFit="1" customWidth="1"/>
    <col min="15" max="15" width="17.7109375" bestFit="1" customWidth="1"/>
    <col min="16" max="16" width="25.42578125" bestFit="1" customWidth="1"/>
    <col min="17" max="257" width="9.140625" bestFit="1" customWidth="1"/>
  </cols>
  <sheetData>
    <row r="1" spans="1:17" ht="20.25" x14ac:dyDescent="0.2">
      <c r="B1" s="339" t="s">
        <v>457</v>
      </c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41"/>
    </row>
    <row r="2" spans="1:17" ht="20.25" x14ac:dyDescent="0.2">
      <c r="B2" s="340"/>
      <c r="C2" s="340"/>
      <c r="D2" s="340"/>
      <c r="E2" s="340"/>
      <c r="F2" s="340"/>
      <c r="G2" s="340"/>
      <c r="H2" s="340"/>
      <c r="I2" s="340"/>
      <c r="J2" s="340"/>
      <c r="K2" s="340"/>
      <c r="L2" s="340"/>
      <c r="M2" s="340"/>
      <c r="N2" s="340"/>
      <c r="O2" s="340"/>
      <c r="P2" s="340"/>
      <c r="Q2" s="41"/>
    </row>
    <row r="3" spans="1:17" ht="81" x14ac:dyDescent="0.2">
      <c r="A3" s="379" t="s">
        <v>455</v>
      </c>
      <c r="B3" s="375" t="s">
        <v>5</v>
      </c>
      <c r="C3" s="370" t="s">
        <v>55</v>
      </c>
      <c r="D3" s="371" t="s">
        <v>56</v>
      </c>
      <c r="E3" s="359" t="s">
        <v>57</v>
      </c>
      <c r="F3" s="359"/>
      <c r="G3" s="359"/>
      <c r="H3" s="359"/>
      <c r="I3" s="359"/>
      <c r="J3" s="359" t="s">
        <v>58</v>
      </c>
      <c r="K3" s="359"/>
      <c r="L3" s="359"/>
      <c r="M3" s="359"/>
      <c r="N3" s="359"/>
      <c r="O3" s="360" t="s">
        <v>59</v>
      </c>
      <c r="P3" s="362" t="s">
        <v>60</v>
      </c>
    </row>
    <row r="4" spans="1:17" ht="15.75" x14ac:dyDescent="0.2">
      <c r="A4" s="380"/>
      <c r="B4" s="376"/>
      <c r="C4" s="45" t="s">
        <v>61</v>
      </c>
      <c r="D4" s="46" t="s">
        <v>62</v>
      </c>
      <c r="E4" s="46" t="s">
        <v>16</v>
      </c>
      <c r="F4" s="46" t="s">
        <v>63</v>
      </c>
      <c r="G4" s="46" t="s">
        <v>64</v>
      </c>
      <c r="H4" s="46" t="s">
        <v>65</v>
      </c>
      <c r="I4" s="47" t="s">
        <v>14</v>
      </c>
      <c r="J4" s="46" t="s">
        <v>16</v>
      </c>
      <c r="K4" s="46" t="s">
        <v>66</v>
      </c>
      <c r="L4" s="48" t="s">
        <v>67</v>
      </c>
      <c r="M4" s="46" t="s">
        <v>65</v>
      </c>
      <c r="N4" s="47" t="s">
        <v>14</v>
      </c>
      <c r="O4" s="346"/>
      <c r="P4" s="363"/>
    </row>
    <row r="5" spans="1:17" x14ac:dyDescent="0.2">
      <c r="A5" s="333"/>
      <c r="B5" s="50" t="s">
        <v>19</v>
      </c>
      <c r="C5" s="16"/>
      <c r="D5" s="316"/>
      <c r="E5" s="316"/>
      <c r="F5" s="316"/>
      <c r="G5" s="316"/>
      <c r="H5" s="200"/>
      <c r="I5" s="217"/>
      <c r="J5" s="316"/>
      <c r="K5" s="200"/>
      <c r="L5" s="316"/>
      <c r="M5" s="201"/>
      <c r="N5" s="217"/>
      <c r="O5" s="202"/>
      <c r="P5" s="372"/>
    </row>
    <row r="6" spans="1:17" x14ac:dyDescent="0.2">
      <c r="A6" s="333"/>
      <c r="B6" s="25" t="s">
        <v>21</v>
      </c>
      <c r="C6" s="17"/>
      <c r="D6" s="315"/>
      <c r="E6" s="315"/>
      <c r="F6" s="315"/>
      <c r="G6" s="315"/>
      <c r="H6" s="194"/>
      <c r="I6" s="218"/>
      <c r="J6" s="315"/>
      <c r="K6" s="194"/>
      <c r="L6" s="315"/>
      <c r="M6" s="191"/>
      <c r="N6" s="218"/>
      <c r="O6" s="315"/>
      <c r="P6" s="373"/>
    </row>
    <row r="7" spans="1:17" x14ac:dyDescent="0.2">
      <c r="A7" s="333"/>
      <c r="B7" s="145" t="s">
        <v>69</v>
      </c>
      <c r="C7" s="17"/>
      <c r="D7" s="315"/>
      <c r="E7" s="315"/>
      <c r="F7" s="315"/>
      <c r="G7" s="315"/>
      <c r="H7" s="194"/>
      <c r="I7" s="218"/>
      <c r="J7" s="315"/>
      <c r="K7" s="194"/>
      <c r="L7" s="315"/>
      <c r="M7" s="191"/>
      <c r="N7" s="218"/>
      <c r="O7" s="315"/>
      <c r="P7" s="373"/>
    </row>
    <row r="8" spans="1:17" x14ac:dyDescent="0.2">
      <c r="A8" s="333"/>
      <c r="B8" s="25" t="s">
        <v>23</v>
      </c>
      <c r="C8" s="17"/>
      <c r="D8" s="315"/>
      <c r="E8" s="315"/>
      <c r="F8" s="315"/>
      <c r="G8" s="315"/>
      <c r="H8" s="194"/>
      <c r="I8" s="218"/>
      <c r="J8" s="315"/>
      <c r="K8" s="194"/>
      <c r="L8" s="315"/>
      <c r="M8" s="191"/>
      <c r="N8" s="218"/>
      <c r="O8" s="315"/>
      <c r="P8" s="373"/>
    </row>
    <row r="9" spans="1:17" x14ac:dyDescent="0.2">
      <c r="A9" s="333"/>
      <c r="B9" s="145" t="s">
        <v>70</v>
      </c>
      <c r="C9" s="17"/>
      <c r="D9" s="315"/>
      <c r="E9" s="315"/>
      <c r="F9" s="315"/>
      <c r="G9" s="315"/>
      <c r="H9" s="194"/>
      <c r="I9" s="218"/>
      <c r="J9" s="315"/>
      <c r="K9" s="194"/>
      <c r="L9" s="315"/>
      <c r="M9" s="191"/>
      <c r="N9" s="218"/>
      <c r="O9" s="315"/>
      <c r="P9" s="373"/>
    </row>
    <row r="10" spans="1:17" x14ac:dyDescent="0.2">
      <c r="A10" s="333"/>
      <c r="B10" s="25" t="s">
        <v>24</v>
      </c>
      <c r="C10" s="17"/>
      <c r="D10" s="315"/>
      <c r="E10" s="315"/>
      <c r="F10" s="315"/>
      <c r="G10" s="315"/>
      <c r="H10" s="194"/>
      <c r="I10" s="218"/>
      <c r="J10" s="315"/>
      <c r="K10" s="194"/>
      <c r="L10" s="315"/>
      <c r="M10" s="191"/>
      <c r="N10" s="218"/>
      <c r="O10" s="315"/>
      <c r="P10" s="373"/>
    </row>
    <row r="11" spans="1:17" x14ac:dyDescent="0.2">
      <c r="A11" s="333"/>
      <c r="B11" s="25" t="s">
        <v>25</v>
      </c>
      <c r="C11" s="63" t="s">
        <v>20</v>
      </c>
      <c r="D11" s="315"/>
      <c r="E11" s="315"/>
      <c r="F11" s="315"/>
      <c r="G11" s="315"/>
      <c r="H11" s="194"/>
      <c r="I11" s="218"/>
      <c r="J11" s="315"/>
      <c r="K11" s="194"/>
      <c r="L11" s="315"/>
      <c r="M11" s="191"/>
      <c r="N11" s="218"/>
      <c r="O11" s="315"/>
      <c r="P11" s="373"/>
    </row>
    <row r="12" spans="1:17" x14ac:dyDescent="0.2">
      <c r="A12" s="333"/>
      <c r="B12" s="145" t="s">
        <v>71</v>
      </c>
      <c r="C12" s="17"/>
      <c r="D12" s="315"/>
      <c r="E12" s="315"/>
      <c r="F12" s="315"/>
      <c r="G12" s="315"/>
      <c r="H12" s="194"/>
      <c r="I12" s="218"/>
      <c r="J12" s="315"/>
      <c r="K12" s="194"/>
      <c r="L12" s="315"/>
      <c r="M12" s="191"/>
      <c r="N12" s="218"/>
      <c r="O12" s="315"/>
      <c r="P12" s="373"/>
    </row>
    <row r="13" spans="1:17" x14ac:dyDescent="0.2">
      <c r="A13" s="333"/>
      <c r="B13" s="25" t="s">
        <v>28</v>
      </c>
      <c r="C13" s="17"/>
      <c r="D13" s="315"/>
      <c r="E13" s="315"/>
      <c r="F13" s="315"/>
      <c r="G13" s="315"/>
      <c r="H13" s="194"/>
      <c r="I13" s="218"/>
      <c r="J13" s="315"/>
      <c r="K13" s="194"/>
      <c r="L13" s="315"/>
      <c r="M13" s="191"/>
      <c r="N13" s="218"/>
      <c r="O13" s="315"/>
      <c r="P13" s="373"/>
    </row>
    <row r="14" spans="1:17" x14ac:dyDescent="0.2">
      <c r="A14" s="333"/>
      <c r="B14" s="145" t="s">
        <v>72</v>
      </c>
      <c r="C14" s="17"/>
      <c r="D14" s="315"/>
      <c r="E14" s="315"/>
      <c r="F14" s="315"/>
      <c r="G14" s="315"/>
      <c r="H14" s="194"/>
      <c r="I14" s="218"/>
      <c r="J14" s="315"/>
      <c r="K14" s="194"/>
      <c r="L14" s="315"/>
      <c r="M14" s="191"/>
      <c r="N14" s="218"/>
      <c r="O14" s="315"/>
      <c r="P14" s="373"/>
    </row>
    <row r="15" spans="1:17" x14ac:dyDescent="0.2">
      <c r="A15" s="333"/>
      <c r="B15" s="25" t="s">
        <v>29</v>
      </c>
      <c r="C15" s="17"/>
      <c r="D15" s="315"/>
      <c r="E15" s="315"/>
      <c r="F15" s="315"/>
      <c r="G15" s="315"/>
      <c r="H15" s="194"/>
      <c r="I15" s="218"/>
      <c r="J15" s="315"/>
      <c r="K15" s="194"/>
      <c r="L15" s="315"/>
      <c r="M15" s="191"/>
      <c r="N15" s="218"/>
      <c r="O15" s="315"/>
      <c r="P15" s="373"/>
    </row>
    <row r="16" spans="1:17" x14ac:dyDescent="0.2">
      <c r="A16" s="333"/>
      <c r="B16" s="25" t="s">
        <v>30</v>
      </c>
      <c r="C16" s="17"/>
      <c r="D16" s="315"/>
      <c r="E16" s="315"/>
      <c r="F16" s="315"/>
      <c r="G16" s="315"/>
      <c r="H16" s="194"/>
      <c r="I16" s="218"/>
      <c r="J16" s="315"/>
      <c r="K16" s="194"/>
      <c r="L16" s="315"/>
      <c r="M16" s="191"/>
      <c r="N16" s="218"/>
      <c r="O16" s="315"/>
      <c r="P16" s="373"/>
    </row>
    <row r="17" spans="1:16" x14ac:dyDescent="0.2">
      <c r="A17" s="333"/>
      <c r="B17" s="25" t="s">
        <v>31</v>
      </c>
      <c r="C17" s="17"/>
      <c r="D17" s="315"/>
      <c r="E17" s="315"/>
      <c r="F17" s="315"/>
      <c r="G17" s="315"/>
      <c r="H17" s="194"/>
      <c r="I17" s="218"/>
      <c r="J17" s="315"/>
      <c r="K17" s="194"/>
      <c r="L17" s="315"/>
      <c r="M17" s="191"/>
      <c r="N17" s="218"/>
      <c r="O17" s="315"/>
      <c r="P17" s="373"/>
    </row>
    <row r="18" spans="1:16" x14ac:dyDescent="0.2">
      <c r="A18" s="333"/>
      <c r="B18" s="145" t="s">
        <v>73</v>
      </c>
      <c r="C18" s="17"/>
      <c r="D18" s="315"/>
      <c r="E18" s="315"/>
      <c r="F18" s="315"/>
      <c r="G18" s="315"/>
      <c r="H18" s="194"/>
      <c r="I18" s="218"/>
      <c r="J18" s="315"/>
      <c r="K18" s="194"/>
      <c r="L18" s="315"/>
      <c r="M18" s="191"/>
      <c r="N18" s="218"/>
      <c r="O18" s="315"/>
      <c r="P18" s="373"/>
    </row>
    <row r="19" spans="1:16" x14ac:dyDescent="0.2">
      <c r="A19" s="333"/>
      <c r="B19" s="25" t="s">
        <v>32</v>
      </c>
      <c r="C19" s="17"/>
      <c r="D19" s="315"/>
      <c r="E19" s="315"/>
      <c r="F19" s="315"/>
      <c r="G19" s="315"/>
      <c r="H19" s="194"/>
      <c r="I19" s="218"/>
      <c r="J19" s="315"/>
      <c r="K19" s="194"/>
      <c r="L19" s="315"/>
      <c r="M19" s="191"/>
      <c r="N19" s="218"/>
      <c r="O19" s="315"/>
      <c r="P19" s="373"/>
    </row>
    <row r="20" spans="1:16" x14ac:dyDescent="0.2">
      <c r="A20" s="333"/>
      <c r="B20" s="145" t="s">
        <v>74</v>
      </c>
      <c r="C20" s="17"/>
      <c r="D20" s="315"/>
      <c r="E20" s="315"/>
      <c r="F20" s="315"/>
      <c r="G20" s="315"/>
      <c r="H20" s="194"/>
      <c r="I20" s="218"/>
      <c r="J20" s="315"/>
      <c r="K20" s="194"/>
      <c r="L20" s="315"/>
      <c r="M20" s="191"/>
      <c r="N20" s="218"/>
      <c r="O20" s="315"/>
      <c r="P20" s="373"/>
    </row>
    <row r="21" spans="1:16" x14ac:dyDescent="0.2">
      <c r="A21" s="333"/>
      <c r="B21" s="377" t="s">
        <v>75</v>
      </c>
      <c r="C21" s="17"/>
      <c r="D21" s="315"/>
      <c r="E21" s="315"/>
      <c r="F21" s="315"/>
      <c r="G21" s="315"/>
      <c r="H21" s="194"/>
      <c r="I21" s="218"/>
      <c r="J21" s="315"/>
      <c r="K21" s="194"/>
      <c r="L21" s="315"/>
      <c r="M21" s="191"/>
      <c r="N21" s="218"/>
      <c r="O21" s="315"/>
      <c r="P21" s="373"/>
    </row>
    <row r="22" spans="1:16" x14ac:dyDescent="0.2">
      <c r="A22" s="333"/>
      <c r="B22" s="377" t="s">
        <v>76</v>
      </c>
      <c r="C22" s="17"/>
      <c r="D22" s="315"/>
      <c r="E22" s="315"/>
      <c r="F22" s="315"/>
      <c r="G22" s="315"/>
      <c r="H22" s="194"/>
      <c r="I22" s="218"/>
      <c r="J22" s="315"/>
      <c r="K22" s="194"/>
      <c r="L22" s="315"/>
      <c r="M22" s="191"/>
      <c r="N22" s="218"/>
      <c r="O22" s="315"/>
      <c r="P22" s="373"/>
    </row>
    <row r="23" spans="1:16" x14ac:dyDescent="0.2">
      <c r="A23" s="333"/>
      <c r="B23" s="378" t="s">
        <v>77</v>
      </c>
      <c r="C23" s="144"/>
      <c r="D23" s="315"/>
      <c r="E23" s="315"/>
      <c r="F23" s="315"/>
      <c r="G23" s="315"/>
      <c r="H23" s="194"/>
      <c r="I23" s="218"/>
      <c r="J23" s="315"/>
      <c r="K23" s="194"/>
      <c r="L23" s="315"/>
      <c r="M23" s="191"/>
      <c r="N23" s="218"/>
      <c r="O23" s="315"/>
      <c r="P23" s="373"/>
    </row>
    <row r="24" spans="1:16" x14ac:dyDescent="0.2">
      <c r="A24" s="333"/>
      <c r="B24" s="95" t="s">
        <v>78</v>
      </c>
      <c r="C24" s="63" t="s">
        <v>20</v>
      </c>
      <c r="D24" s="315"/>
      <c r="E24" s="315"/>
      <c r="F24" s="315"/>
      <c r="G24" s="315"/>
      <c r="H24" s="194"/>
      <c r="I24" s="218"/>
      <c r="J24" s="315"/>
      <c r="K24" s="194"/>
      <c r="L24" s="315"/>
      <c r="M24" s="191"/>
      <c r="N24" s="218"/>
      <c r="O24" s="315"/>
      <c r="P24" s="373"/>
    </row>
    <row r="25" spans="1:16" x14ac:dyDescent="0.2">
      <c r="A25" s="333"/>
      <c r="B25" s="145" t="s">
        <v>79</v>
      </c>
      <c r="C25" s="147"/>
      <c r="D25" s="315"/>
      <c r="E25" s="315"/>
      <c r="F25" s="315"/>
      <c r="G25" s="315"/>
      <c r="H25" s="194"/>
      <c r="I25" s="218"/>
      <c r="J25" s="315"/>
      <c r="K25" s="194"/>
      <c r="L25" s="315"/>
      <c r="M25" s="191"/>
      <c r="N25" s="218"/>
      <c r="O25" s="315"/>
      <c r="P25" s="373"/>
    </row>
    <row r="26" spans="1:16" x14ac:dyDescent="0.2">
      <c r="A26" s="333"/>
      <c r="B26" s="145" t="s">
        <v>80</v>
      </c>
      <c r="C26" s="63" t="s">
        <v>20</v>
      </c>
      <c r="D26" s="315"/>
      <c r="E26" s="315"/>
      <c r="F26" s="315"/>
      <c r="G26" s="315"/>
      <c r="H26" s="194"/>
      <c r="I26" s="218"/>
      <c r="J26" s="315"/>
      <c r="K26" s="194"/>
      <c r="L26" s="315"/>
      <c r="M26" s="191"/>
      <c r="N26" s="218"/>
      <c r="O26" s="315"/>
      <c r="P26" s="373"/>
    </row>
    <row r="27" spans="1:16" x14ac:dyDescent="0.2">
      <c r="A27" s="333"/>
      <c r="B27" s="145" t="s">
        <v>81</v>
      </c>
      <c r="C27" s="63" t="s">
        <v>20</v>
      </c>
      <c r="D27" s="315"/>
      <c r="E27" s="315"/>
      <c r="F27" s="315"/>
      <c r="G27" s="315"/>
      <c r="H27" s="194"/>
      <c r="I27" s="218"/>
      <c r="J27" s="315"/>
      <c r="K27" s="194"/>
      <c r="L27" s="315"/>
      <c r="M27" s="191"/>
      <c r="N27" s="218"/>
      <c r="O27" s="315"/>
      <c r="P27" s="373"/>
    </row>
    <row r="28" spans="1:16" x14ac:dyDescent="0.2">
      <c r="A28" s="333"/>
      <c r="B28" s="145" t="s">
        <v>82</v>
      </c>
      <c r="C28" s="63" t="s">
        <v>20</v>
      </c>
      <c r="D28" s="315"/>
      <c r="E28" s="315"/>
      <c r="F28" s="315"/>
      <c r="G28" s="315"/>
      <c r="H28" s="194"/>
      <c r="I28" s="218"/>
      <c r="J28" s="315"/>
      <c r="K28" s="194"/>
      <c r="L28" s="315"/>
      <c r="M28" s="191"/>
      <c r="N28" s="218"/>
      <c r="O28" s="315"/>
      <c r="P28" s="373"/>
    </row>
    <row r="29" spans="1:16" x14ac:dyDescent="0.2">
      <c r="A29" s="333"/>
      <c r="B29" s="145" t="s">
        <v>83</v>
      </c>
      <c r="C29" s="153"/>
      <c r="D29" s="315"/>
      <c r="E29" s="315"/>
      <c r="F29" s="315"/>
      <c r="G29" s="315"/>
      <c r="H29" s="194"/>
      <c r="I29" s="218"/>
      <c r="J29" s="315"/>
      <c r="K29" s="194"/>
      <c r="L29" s="315"/>
      <c r="M29" s="191"/>
      <c r="N29" s="218"/>
      <c r="O29" s="315"/>
      <c r="P29" s="373"/>
    </row>
    <row r="30" spans="1:16" x14ac:dyDescent="0.2">
      <c r="A30" s="333"/>
      <c r="B30" s="145" t="s">
        <v>84</v>
      </c>
      <c r="C30" s="63" t="s">
        <v>20</v>
      </c>
      <c r="D30" s="315"/>
      <c r="E30" s="315"/>
      <c r="F30" s="315"/>
      <c r="G30" s="315"/>
      <c r="H30" s="194"/>
      <c r="I30" s="218"/>
      <c r="J30" s="315"/>
      <c r="K30" s="194"/>
      <c r="L30" s="315"/>
      <c r="M30" s="191"/>
      <c r="N30" s="218"/>
      <c r="O30" s="315"/>
      <c r="P30" s="373"/>
    </row>
    <row r="31" spans="1:16" x14ac:dyDescent="0.2">
      <c r="A31" s="333"/>
      <c r="B31" s="145" t="s">
        <v>85</v>
      </c>
      <c r="C31" s="63" t="s">
        <v>20</v>
      </c>
      <c r="D31" s="315"/>
      <c r="E31" s="315"/>
      <c r="F31" s="315"/>
      <c r="G31" s="315"/>
      <c r="H31" s="194"/>
      <c r="I31" s="218"/>
      <c r="J31" s="315"/>
      <c r="K31" s="194"/>
      <c r="L31" s="315"/>
      <c r="M31" s="191"/>
      <c r="N31" s="218"/>
      <c r="O31" s="315"/>
      <c r="P31" s="373"/>
    </row>
    <row r="32" spans="1:16" x14ac:dyDescent="0.2">
      <c r="A32" s="333"/>
      <c r="B32" s="145" t="s">
        <v>86</v>
      </c>
      <c r="C32" s="63" t="s">
        <v>20</v>
      </c>
      <c r="D32" s="315"/>
      <c r="E32" s="315"/>
      <c r="F32" s="315"/>
      <c r="G32" s="315"/>
      <c r="H32" s="194"/>
      <c r="I32" s="218"/>
      <c r="J32" s="315"/>
      <c r="K32" s="194"/>
      <c r="L32" s="315"/>
      <c r="M32" s="191"/>
      <c r="N32" s="218"/>
      <c r="O32" s="315"/>
      <c r="P32" s="373"/>
    </row>
    <row r="33" spans="1:16" x14ac:dyDescent="0.2">
      <c r="A33" s="333"/>
      <c r="B33" s="155" t="s">
        <v>87</v>
      </c>
      <c r="C33" s="153"/>
      <c r="D33" s="315"/>
      <c r="E33" s="315"/>
      <c r="F33" s="315"/>
      <c r="G33" s="315"/>
      <c r="H33" s="194"/>
      <c r="I33" s="218"/>
      <c r="J33" s="315"/>
      <c r="K33" s="194"/>
      <c r="L33" s="315"/>
      <c r="M33" s="191"/>
      <c r="N33" s="218"/>
      <c r="O33" s="315"/>
      <c r="P33" s="373"/>
    </row>
    <row r="34" spans="1:16" x14ac:dyDescent="0.2">
      <c r="A34" s="333"/>
      <c r="B34" s="145" t="s">
        <v>88</v>
      </c>
      <c r="C34" s="154"/>
      <c r="D34" s="315"/>
      <c r="E34" s="315"/>
      <c r="F34" s="315"/>
      <c r="G34" s="315"/>
      <c r="H34" s="194"/>
      <c r="I34" s="218"/>
      <c r="J34" s="315"/>
      <c r="K34" s="194"/>
      <c r="L34" s="315"/>
      <c r="M34" s="191"/>
      <c r="N34" s="218"/>
      <c r="O34" s="315"/>
      <c r="P34" s="373"/>
    </row>
    <row r="35" spans="1:16" x14ac:dyDescent="0.2">
      <c r="A35" s="333"/>
      <c r="B35" s="145" t="s">
        <v>89</v>
      </c>
      <c r="C35" s="154"/>
      <c r="D35" s="315"/>
      <c r="E35" s="315"/>
      <c r="F35" s="315"/>
      <c r="G35" s="315"/>
      <c r="H35" s="194"/>
      <c r="I35" s="218"/>
      <c r="J35" s="315"/>
      <c r="K35" s="194"/>
      <c r="L35" s="315"/>
      <c r="M35" s="191"/>
      <c r="N35" s="218"/>
      <c r="O35" s="315"/>
      <c r="P35" s="373"/>
    </row>
    <row r="36" spans="1:16" x14ac:dyDescent="0.2">
      <c r="A36" s="333"/>
      <c r="B36" s="145" t="s">
        <v>90</v>
      </c>
      <c r="C36" s="154"/>
      <c r="D36" s="315"/>
      <c r="E36" s="315"/>
      <c r="F36" s="315"/>
      <c r="G36" s="315"/>
      <c r="H36" s="194"/>
      <c r="I36" s="218"/>
      <c r="J36" s="315"/>
      <c r="K36" s="194"/>
      <c r="L36" s="315"/>
      <c r="M36" s="191"/>
      <c r="N36" s="218"/>
      <c r="O36" s="315"/>
      <c r="P36" s="373"/>
    </row>
    <row r="37" spans="1:16" x14ac:dyDescent="0.2">
      <c r="A37" s="333"/>
      <c r="B37" s="145" t="s">
        <v>91</v>
      </c>
      <c r="C37" s="154"/>
      <c r="D37" s="315"/>
      <c r="E37" s="315"/>
      <c r="F37" s="315"/>
      <c r="G37" s="315"/>
      <c r="H37" s="194"/>
      <c r="I37" s="218"/>
      <c r="J37" s="315"/>
      <c r="K37" s="194"/>
      <c r="L37" s="315"/>
      <c r="M37" s="191"/>
      <c r="N37" s="218"/>
      <c r="O37" s="315"/>
      <c r="P37" s="373"/>
    </row>
    <row r="38" spans="1:16" x14ac:dyDescent="0.2">
      <c r="A38" s="333"/>
      <c r="B38" s="145" t="s">
        <v>92</v>
      </c>
      <c r="C38" s="63" t="s">
        <v>20</v>
      </c>
      <c r="D38" s="315"/>
      <c r="E38" s="315"/>
      <c r="F38" s="315"/>
      <c r="G38" s="315"/>
      <c r="H38" s="194"/>
      <c r="I38" s="218"/>
      <c r="J38" s="315"/>
      <c r="K38" s="194"/>
      <c r="L38" s="315"/>
      <c r="M38" s="191"/>
      <c r="N38" s="218"/>
      <c r="O38" s="315"/>
      <c r="P38" s="373"/>
    </row>
    <row r="39" spans="1:16" x14ac:dyDescent="0.2">
      <c r="A39" s="333"/>
      <c r="B39" s="145" t="s">
        <v>93</v>
      </c>
      <c r="C39" s="154"/>
      <c r="D39" s="315"/>
      <c r="E39" s="315"/>
      <c r="F39" s="315"/>
      <c r="G39" s="315"/>
      <c r="H39" s="194"/>
      <c r="I39" s="218"/>
      <c r="J39" s="315"/>
      <c r="K39" s="194"/>
      <c r="L39" s="315"/>
      <c r="M39" s="191"/>
      <c r="N39" s="218"/>
      <c r="O39" s="315"/>
      <c r="P39" s="373"/>
    </row>
    <row r="40" spans="1:16" x14ac:dyDescent="0.2">
      <c r="A40" s="333"/>
      <c r="B40" s="145" t="s">
        <v>94</v>
      </c>
      <c r="C40" s="154"/>
      <c r="D40" s="315"/>
      <c r="E40" s="315"/>
      <c r="F40" s="315"/>
      <c r="G40" s="315"/>
      <c r="H40" s="194"/>
      <c r="I40" s="218"/>
      <c r="J40" s="315"/>
      <c r="K40" s="194"/>
      <c r="L40" s="315"/>
      <c r="M40" s="191"/>
      <c r="N40" s="218"/>
      <c r="O40" s="315"/>
      <c r="P40" s="373"/>
    </row>
    <row r="41" spans="1:16" x14ac:dyDescent="0.2">
      <c r="A41" s="333"/>
      <c r="B41" s="157" t="s">
        <v>95</v>
      </c>
      <c r="C41" s="63" t="s">
        <v>20</v>
      </c>
      <c r="D41" s="315"/>
      <c r="E41" s="315"/>
      <c r="F41" s="315"/>
      <c r="G41" s="315"/>
      <c r="H41" s="194"/>
      <c r="I41" s="218"/>
      <c r="J41" s="315"/>
      <c r="K41" s="194"/>
      <c r="L41" s="315"/>
      <c r="M41" s="191"/>
      <c r="N41" s="218"/>
      <c r="O41" s="315"/>
      <c r="P41" s="373"/>
    </row>
    <row r="42" spans="1:16" x14ac:dyDescent="0.2">
      <c r="A42" s="333"/>
      <c r="B42" s="157" t="s">
        <v>96</v>
      </c>
      <c r="C42" s="63" t="s">
        <v>20</v>
      </c>
      <c r="D42" s="315"/>
      <c r="E42" s="315"/>
      <c r="F42" s="315"/>
      <c r="G42" s="315"/>
      <c r="H42" s="194"/>
      <c r="I42" s="218"/>
      <c r="J42" s="315"/>
      <c r="K42" s="194"/>
      <c r="L42" s="315"/>
      <c r="M42" s="191"/>
      <c r="N42" s="218"/>
      <c r="O42" s="315"/>
      <c r="P42" s="373"/>
    </row>
    <row r="43" spans="1:16" x14ac:dyDescent="0.2">
      <c r="A43" s="333"/>
      <c r="B43" s="155" t="s">
        <v>97</v>
      </c>
      <c r="C43" s="63" t="s">
        <v>20</v>
      </c>
      <c r="D43" s="315"/>
      <c r="E43" s="315"/>
      <c r="F43" s="315"/>
      <c r="G43" s="315"/>
      <c r="H43" s="194"/>
      <c r="I43" s="218"/>
      <c r="J43" s="315"/>
      <c r="K43" s="194"/>
      <c r="L43" s="315"/>
      <c r="M43" s="191"/>
      <c r="N43" s="218"/>
      <c r="O43" s="315"/>
      <c r="P43" s="373"/>
    </row>
    <row r="44" spans="1:16" x14ac:dyDescent="0.2">
      <c r="A44" s="333"/>
      <c r="B44" s="155" t="s">
        <v>98</v>
      </c>
      <c r="C44" s="154"/>
      <c r="D44" s="315"/>
      <c r="E44" s="315"/>
      <c r="F44" s="315"/>
      <c r="G44" s="315"/>
      <c r="H44" s="194"/>
      <c r="I44" s="218"/>
      <c r="J44" s="315"/>
      <c r="K44" s="194"/>
      <c r="L44" s="315"/>
      <c r="M44" s="191"/>
      <c r="N44" s="218"/>
      <c r="O44" s="315"/>
      <c r="P44" s="373"/>
    </row>
    <row r="45" spans="1:16" x14ac:dyDescent="0.2">
      <c r="A45" s="333"/>
      <c r="B45" s="155" t="s">
        <v>99</v>
      </c>
      <c r="C45" s="63" t="s">
        <v>20</v>
      </c>
      <c r="D45" s="315"/>
      <c r="E45" s="315"/>
      <c r="F45" s="315"/>
      <c r="G45" s="315"/>
      <c r="H45" s="194"/>
      <c r="I45" s="218"/>
      <c r="J45" s="315"/>
      <c r="K45" s="194"/>
      <c r="L45" s="315"/>
      <c r="M45" s="191"/>
      <c r="N45" s="218"/>
      <c r="O45" s="315"/>
      <c r="P45" s="373"/>
    </row>
    <row r="46" spans="1:16" x14ac:dyDescent="0.2">
      <c r="A46" s="333"/>
      <c r="B46" s="155" t="s">
        <v>100</v>
      </c>
      <c r="C46" s="63" t="s">
        <v>20</v>
      </c>
      <c r="D46" s="315"/>
      <c r="E46" s="315"/>
      <c r="F46" s="315"/>
      <c r="G46" s="315"/>
      <c r="H46" s="194"/>
      <c r="I46" s="218"/>
      <c r="J46" s="315"/>
      <c r="K46" s="194"/>
      <c r="L46" s="315"/>
      <c r="M46" s="191"/>
      <c r="N46" s="218"/>
      <c r="O46" s="315"/>
      <c r="P46" s="373"/>
    </row>
    <row r="47" spans="1:16" x14ac:dyDescent="0.2">
      <c r="A47" s="333"/>
      <c r="B47" s="155" t="s">
        <v>101</v>
      </c>
      <c r="C47" s="63" t="s">
        <v>20</v>
      </c>
      <c r="D47" s="315"/>
      <c r="E47" s="315"/>
      <c r="F47" s="315"/>
      <c r="G47" s="315"/>
      <c r="H47" s="194"/>
      <c r="I47" s="218"/>
      <c r="J47" s="315"/>
      <c r="K47" s="194"/>
      <c r="L47" s="315"/>
      <c r="M47" s="191"/>
      <c r="N47" s="218"/>
      <c r="O47" s="315"/>
      <c r="P47" s="373"/>
    </row>
    <row r="48" spans="1:16" x14ac:dyDescent="0.2">
      <c r="A48" s="333"/>
      <c r="B48" s="155" t="s">
        <v>102</v>
      </c>
      <c r="C48" s="63" t="s">
        <v>20</v>
      </c>
      <c r="D48" s="315"/>
      <c r="E48" s="315"/>
      <c r="F48" s="315"/>
      <c r="G48" s="315"/>
      <c r="H48" s="194"/>
      <c r="I48" s="218"/>
      <c r="J48" s="315"/>
      <c r="K48" s="194"/>
      <c r="L48" s="315"/>
      <c r="M48" s="191"/>
      <c r="N48" s="218"/>
      <c r="O48" s="315"/>
      <c r="P48" s="373"/>
    </row>
    <row r="49" spans="1:16" x14ac:dyDescent="0.2">
      <c r="A49" s="333"/>
      <c r="B49" s="155" t="s">
        <v>103</v>
      </c>
      <c r="C49" s="63" t="s">
        <v>20</v>
      </c>
      <c r="D49" s="315"/>
      <c r="E49" s="315"/>
      <c r="F49" s="315"/>
      <c r="G49" s="315"/>
      <c r="H49" s="194"/>
      <c r="I49" s="218"/>
      <c r="J49" s="315"/>
      <c r="K49" s="194"/>
      <c r="L49" s="315"/>
      <c r="M49" s="191"/>
      <c r="N49" s="218"/>
      <c r="O49" s="315"/>
      <c r="P49" s="373"/>
    </row>
    <row r="50" spans="1:16" x14ac:dyDescent="0.2">
      <c r="A50" s="333"/>
      <c r="B50" s="155" t="s">
        <v>104</v>
      </c>
      <c r="C50" s="63" t="s">
        <v>20</v>
      </c>
      <c r="D50" s="315"/>
      <c r="E50" s="315"/>
      <c r="F50" s="315"/>
      <c r="G50" s="315"/>
      <c r="H50" s="194"/>
      <c r="I50" s="218"/>
      <c r="J50" s="315"/>
      <c r="K50" s="194"/>
      <c r="L50" s="315"/>
      <c r="M50" s="191"/>
      <c r="N50" s="218"/>
      <c r="O50" s="315"/>
      <c r="P50" s="373"/>
    </row>
    <row r="51" spans="1:16" x14ac:dyDescent="0.2">
      <c r="A51" s="333"/>
      <c r="B51" s="145" t="s">
        <v>105</v>
      </c>
      <c r="C51" s="63" t="s">
        <v>20</v>
      </c>
      <c r="D51" s="315"/>
      <c r="E51" s="315"/>
      <c r="F51" s="315"/>
      <c r="G51" s="315"/>
      <c r="H51" s="194"/>
      <c r="I51" s="218"/>
      <c r="J51" s="315"/>
      <c r="K51" s="194"/>
      <c r="L51" s="315"/>
      <c r="M51" s="191"/>
      <c r="N51" s="218"/>
      <c r="O51" s="315"/>
      <c r="P51" s="373"/>
    </row>
    <row r="52" spans="1:16" x14ac:dyDescent="0.2">
      <c r="A52" s="333"/>
      <c r="B52" s="157" t="s">
        <v>106</v>
      </c>
      <c r="C52" s="63" t="s">
        <v>20</v>
      </c>
      <c r="D52" s="315"/>
      <c r="E52" s="315"/>
      <c r="F52" s="315"/>
      <c r="G52" s="315"/>
      <c r="H52" s="194"/>
      <c r="I52" s="218"/>
      <c r="J52" s="315"/>
      <c r="K52" s="194"/>
      <c r="L52" s="315"/>
      <c r="M52" s="191"/>
      <c r="N52" s="218"/>
      <c r="O52" s="315"/>
      <c r="P52" s="373"/>
    </row>
    <row r="53" spans="1:16" x14ac:dyDescent="0.2">
      <c r="A53" s="333"/>
      <c r="B53" s="157" t="s">
        <v>107</v>
      </c>
      <c r="C53" s="63" t="s">
        <v>20</v>
      </c>
      <c r="D53" s="315"/>
      <c r="E53" s="315"/>
      <c r="F53" s="315"/>
      <c r="G53" s="315"/>
      <c r="H53" s="194"/>
      <c r="I53" s="218"/>
      <c r="J53" s="315"/>
      <c r="K53" s="194"/>
      <c r="L53" s="315"/>
      <c r="M53" s="191"/>
      <c r="N53" s="218"/>
      <c r="O53" s="315"/>
      <c r="P53" s="373"/>
    </row>
    <row r="54" spans="1:16" x14ac:dyDescent="0.2">
      <c r="A54" s="333"/>
      <c r="B54" s="157" t="s">
        <v>108</v>
      </c>
      <c r="C54" s="63" t="s">
        <v>20</v>
      </c>
      <c r="D54" s="315"/>
      <c r="E54" s="315"/>
      <c r="F54" s="315"/>
      <c r="G54" s="315"/>
      <c r="H54" s="194"/>
      <c r="I54" s="218"/>
      <c r="J54" s="315"/>
      <c r="K54" s="194"/>
      <c r="L54" s="315"/>
      <c r="M54" s="191"/>
      <c r="N54" s="218"/>
      <c r="O54" s="315"/>
      <c r="P54" s="373"/>
    </row>
    <row r="55" spans="1:16" x14ac:dyDescent="0.2">
      <c r="A55" s="333"/>
      <c r="B55" s="157" t="s">
        <v>109</v>
      </c>
      <c r="C55" s="63" t="s">
        <v>20</v>
      </c>
      <c r="D55" s="315"/>
      <c r="E55" s="315"/>
      <c r="F55" s="315"/>
      <c r="G55" s="315"/>
      <c r="H55" s="194"/>
      <c r="I55" s="218"/>
      <c r="J55" s="315"/>
      <c r="K55" s="194"/>
      <c r="L55" s="315"/>
      <c r="M55" s="191"/>
      <c r="N55" s="218"/>
      <c r="O55" s="315"/>
      <c r="P55" s="373"/>
    </row>
    <row r="56" spans="1:16" x14ac:dyDescent="0.2">
      <c r="A56" s="333"/>
      <c r="B56" s="157" t="s">
        <v>110</v>
      </c>
      <c r="C56" s="63" t="s">
        <v>20</v>
      </c>
      <c r="D56" s="315"/>
      <c r="E56" s="315"/>
      <c r="F56" s="315"/>
      <c r="G56" s="315"/>
      <c r="H56" s="194"/>
      <c r="I56" s="218"/>
      <c r="J56" s="315"/>
      <c r="K56" s="194"/>
      <c r="L56" s="315"/>
      <c r="M56" s="191"/>
      <c r="N56" s="218"/>
      <c r="O56" s="315"/>
      <c r="P56" s="373"/>
    </row>
    <row r="57" spans="1:16" x14ac:dyDescent="0.2">
      <c r="A57" s="333"/>
      <c r="B57" s="157" t="s">
        <v>111</v>
      </c>
      <c r="C57" s="63" t="s">
        <v>20</v>
      </c>
      <c r="D57" s="315"/>
      <c r="E57" s="315"/>
      <c r="F57" s="315"/>
      <c r="G57" s="315"/>
      <c r="H57" s="194"/>
      <c r="I57" s="218"/>
      <c r="J57" s="315"/>
      <c r="K57" s="194"/>
      <c r="L57" s="315"/>
      <c r="M57" s="191"/>
      <c r="N57" s="218"/>
      <c r="O57" s="315"/>
      <c r="P57" s="373"/>
    </row>
    <row r="58" spans="1:16" x14ac:dyDescent="0.2">
      <c r="A58" s="333"/>
      <c r="B58" s="157" t="s">
        <v>112</v>
      </c>
      <c r="C58" s="63" t="s">
        <v>20</v>
      </c>
      <c r="D58" s="315"/>
      <c r="E58" s="315"/>
      <c r="F58" s="315"/>
      <c r="G58" s="315"/>
      <c r="H58" s="194"/>
      <c r="I58" s="218"/>
      <c r="J58" s="315"/>
      <c r="K58" s="194"/>
      <c r="L58" s="315"/>
      <c r="M58" s="191"/>
      <c r="N58" s="218"/>
      <c r="O58" s="315"/>
      <c r="P58" s="373"/>
    </row>
    <row r="59" spans="1:16" x14ac:dyDescent="0.2">
      <c r="A59" s="333"/>
      <c r="B59" s="157" t="s">
        <v>113</v>
      </c>
      <c r="C59" s="63" t="s">
        <v>20</v>
      </c>
      <c r="D59" s="315"/>
      <c r="E59" s="315"/>
      <c r="F59" s="315"/>
      <c r="G59" s="315"/>
      <c r="H59" s="194"/>
      <c r="I59" s="218"/>
      <c r="J59" s="315"/>
      <c r="K59" s="194"/>
      <c r="L59" s="315"/>
      <c r="M59" s="191"/>
      <c r="N59" s="218"/>
      <c r="O59" s="315"/>
      <c r="P59" s="373"/>
    </row>
    <row r="60" spans="1:16" x14ac:dyDescent="0.2">
      <c r="A60" s="333"/>
      <c r="B60" s="157" t="s">
        <v>114</v>
      </c>
      <c r="C60" s="63" t="s">
        <v>20</v>
      </c>
      <c r="D60" s="315"/>
      <c r="E60" s="315"/>
      <c r="F60" s="315"/>
      <c r="G60" s="315"/>
      <c r="H60" s="194"/>
      <c r="I60" s="218"/>
      <c r="J60" s="315"/>
      <c r="K60" s="194"/>
      <c r="L60" s="315"/>
      <c r="M60" s="191"/>
      <c r="N60" s="218"/>
      <c r="O60" s="315"/>
      <c r="P60" s="373"/>
    </row>
    <row r="61" spans="1:16" x14ac:dyDescent="0.2">
      <c r="A61" s="333"/>
      <c r="B61" s="157" t="s">
        <v>115</v>
      </c>
      <c r="C61" s="63" t="s">
        <v>20</v>
      </c>
      <c r="D61" s="315"/>
      <c r="E61" s="315"/>
      <c r="F61" s="315"/>
      <c r="G61" s="315"/>
      <c r="H61" s="194"/>
      <c r="I61" s="218"/>
      <c r="J61" s="315"/>
      <c r="K61" s="194"/>
      <c r="L61" s="315"/>
      <c r="M61" s="191"/>
      <c r="N61" s="218"/>
      <c r="O61" s="315"/>
      <c r="P61" s="373"/>
    </row>
    <row r="62" spans="1:16" x14ac:dyDescent="0.2">
      <c r="A62" s="333"/>
      <c r="B62" s="157" t="s">
        <v>116</v>
      </c>
      <c r="C62" s="63" t="s">
        <v>20</v>
      </c>
      <c r="D62" s="315"/>
      <c r="E62" s="315"/>
      <c r="F62" s="315"/>
      <c r="G62" s="315"/>
      <c r="H62" s="194"/>
      <c r="I62" s="218"/>
      <c r="J62" s="315"/>
      <c r="K62" s="194"/>
      <c r="L62" s="315"/>
      <c r="M62" s="191"/>
      <c r="N62" s="218"/>
      <c r="O62" s="315"/>
      <c r="P62" s="373"/>
    </row>
    <row r="63" spans="1:16" x14ac:dyDescent="0.2">
      <c r="A63" s="333"/>
      <c r="B63" s="157" t="s">
        <v>117</v>
      </c>
      <c r="C63" s="63" t="s">
        <v>20</v>
      </c>
      <c r="D63" s="315"/>
      <c r="E63" s="315"/>
      <c r="F63" s="315"/>
      <c r="G63" s="315"/>
      <c r="H63" s="194"/>
      <c r="I63" s="218"/>
      <c r="J63" s="315"/>
      <c r="K63" s="194"/>
      <c r="L63" s="315"/>
      <c r="M63" s="191"/>
      <c r="N63" s="218"/>
      <c r="O63" s="315"/>
      <c r="P63" s="373"/>
    </row>
    <row r="64" spans="1:16" x14ac:dyDescent="0.2">
      <c r="A64" s="333"/>
      <c r="B64" s="155" t="s">
        <v>118</v>
      </c>
      <c r="C64" s="154"/>
      <c r="D64" s="315"/>
      <c r="E64" s="315"/>
      <c r="F64" s="315"/>
      <c r="G64" s="315"/>
      <c r="H64" s="194"/>
      <c r="I64" s="218"/>
      <c r="J64" s="315"/>
      <c r="K64" s="194"/>
      <c r="L64" s="315"/>
      <c r="M64" s="191"/>
      <c r="N64" s="218"/>
      <c r="O64" s="315"/>
      <c r="P64" s="373"/>
    </row>
    <row r="65" spans="1:16" x14ac:dyDescent="0.2">
      <c r="A65" s="333"/>
      <c r="B65" s="155" t="s">
        <v>119</v>
      </c>
      <c r="C65" s="154"/>
      <c r="D65" s="315"/>
      <c r="E65" s="315"/>
      <c r="F65" s="315"/>
      <c r="G65" s="315"/>
      <c r="H65" s="194"/>
      <c r="I65" s="218"/>
      <c r="J65" s="315"/>
      <c r="K65" s="194"/>
      <c r="L65" s="315"/>
      <c r="M65" s="191"/>
      <c r="N65" s="218"/>
      <c r="O65" s="315"/>
      <c r="P65" s="373"/>
    </row>
    <row r="66" spans="1:16" x14ac:dyDescent="0.2">
      <c r="A66" s="333"/>
      <c r="B66" s="155" t="s">
        <v>120</v>
      </c>
      <c r="C66" s="154"/>
      <c r="D66" s="315"/>
      <c r="E66" s="315"/>
      <c r="F66" s="315"/>
      <c r="G66" s="315"/>
      <c r="H66" s="194"/>
      <c r="I66" s="218"/>
      <c r="J66" s="315"/>
      <c r="K66" s="194"/>
      <c r="L66" s="315"/>
      <c r="M66" s="191"/>
      <c r="N66" s="218"/>
      <c r="O66" s="315"/>
      <c r="P66" s="373"/>
    </row>
    <row r="67" spans="1:16" x14ac:dyDescent="0.2">
      <c r="A67" s="333"/>
      <c r="B67" s="155" t="s">
        <v>121</v>
      </c>
      <c r="C67" s="63" t="s">
        <v>20</v>
      </c>
      <c r="D67" s="315"/>
      <c r="E67" s="315"/>
      <c r="F67" s="315"/>
      <c r="G67" s="315"/>
      <c r="H67" s="194"/>
      <c r="I67" s="218"/>
      <c r="J67" s="315"/>
      <c r="K67" s="194"/>
      <c r="L67" s="315"/>
      <c r="M67" s="191"/>
      <c r="N67" s="218"/>
      <c r="O67" s="315"/>
      <c r="P67" s="373"/>
    </row>
    <row r="68" spans="1:16" x14ac:dyDescent="0.2">
      <c r="A68" s="333"/>
      <c r="B68" s="155" t="s">
        <v>122</v>
      </c>
      <c r="C68" s="63" t="s">
        <v>20</v>
      </c>
      <c r="D68" s="315"/>
      <c r="E68" s="315"/>
      <c r="F68" s="315"/>
      <c r="G68" s="315"/>
      <c r="H68" s="194"/>
      <c r="I68" s="218"/>
      <c r="J68" s="315"/>
      <c r="K68" s="194"/>
      <c r="L68" s="315"/>
      <c r="M68" s="191"/>
      <c r="N68" s="218"/>
      <c r="O68" s="315"/>
      <c r="P68" s="373"/>
    </row>
    <row r="69" spans="1:16" x14ac:dyDescent="0.2">
      <c r="A69" s="333"/>
      <c r="B69" s="155" t="s">
        <v>123</v>
      </c>
      <c r="C69" s="63" t="s">
        <v>20</v>
      </c>
      <c r="D69" s="315"/>
      <c r="E69" s="315"/>
      <c r="F69" s="315"/>
      <c r="G69" s="315"/>
      <c r="H69" s="194"/>
      <c r="I69" s="218"/>
      <c r="J69" s="315"/>
      <c r="K69" s="194"/>
      <c r="L69" s="315"/>
      <c r="M69" s="191"/>
      <c r="N69" s="218"/>
      <c r="O69" s="315"/>
      <c r="P69" s="373"/>
    </row>
    <row r="70" spans="1:16" x14ac:dyDescent="0.2">
      <c r="A70" s="333"/>
      <c r="B70" s="155" t="s">
        <v>124</v>
      </c>
      <c r="C70" s="154"/>
      <c r="D70" s="315"/>
      <c r="E70" s="315"/>
      <c r="F70" s="315"/>
      <c r="G70" s="315"/>
      <c r="H70" s="194"/>
      <c r="I70" s="218"/>
      <c r="J70" s="315"/>
      <c r="K70" s="194"/>
      <c r="L70" s="315"/>
      <c r="M70" s="191"/>
      <c r="N70" s="218"/>
      <c r="O70" s="315"/>
      <c r="P70" s="373"/>
    </row>
    <row r="71" spans="1:16" x14ac:dyDescent="0.2">
      <c r="A71" s="333"/>
      <c r="B71" s="155" t="s">
        <v>125</v>
      </c>
      <c r="C71" s="154"/>
      <c r="D71" s="315"/>
      <c r="E71" s="315"/>
      <c r="F71" s="315"/>
      <c r="G71" s="315"/>
      <c r="H71" s="194"/>
      <c r="I71" s="218"/>
      <c r="J71" s="315"/>
      <c r="K71" s="194"/>
      <c r="L71" s="315"/>
      <c r="M71" s="191"/>
      <c r="N71" s="218"/>
      <c r="O71" s="315"/>
      <c r="P71" s="373"/>
    </row>
    <row r="72" spans="1:16" x14ac:dyDescent="0.2">
      <c r="A72" s="333"/>
      <c r="B72" s="155" t="s">
        <v>126</v>
      </c>
      <c r="C72" s="154"/>
      <c r="D72" s="315"/>
      <c r="E72" s="315"/>
      <c r="F72" s="315"/>
      <c r="G72" s="315"/>
      <c r="H72" s="194"/>
      <c r="I72" s="218"/>
      <c r="J72" s="315"/>
      <c r="K72" s="194"/>
      <c r="L72" s="315"/>
      <c r="M72" s="191"/>
      <c r="N72" s="218"/>
      <c r="O72" s="315"/>
      <c r="P72" s="373"/>
    </row>
    <row r="73" spans="1:16" x14ac:dyDescent="0.2">
      <c r="A73" s="333"/>
      <c r="B73" s="155" t="s">
        <v>127</v>
      </c>
      <c r="C73" s="154"/>
      <c r="D73" s="315"/>
      <c r="E73" s="315"/>
      <c r="F73" s="315"/>
      <c r="G73" s="315"/>
      <c r="H73" s="194"/>
      <c r="I73" s="218"/>
      <c r="J73" s="315"/>
      <c r="K73" s="194"/>
      <c r="L73" s="315"/>
      <c r="M73" s="191"/>
      <c r="N73" s="218"/>
      <c r="O73" s="315"/>
      <c r="P73" s="373"/>
    </row>
    <row r="74" spans="1:16" x14ac:dyDescent="0.2">
      <c r="A74" s="333"/>
      <c r="B74" s="155" t="s">
        <v>128</v>
      </c>
      <c r="C74" s="154"/>
      <c r="D74" s="315"/>
      <c r="E74" s="315"/>
      <c r="F74" s="315"/>
      <c r="G74" s="315"/>
      <c r="H74" s="194"/>
      <c r="I74" s="218"/>
      <c r="J74" s="315"/>
      <c r="K74" s="194"/>
      <c r="L74" s="315"/>
      <c r="M74" s="191"/>
      <c r="N74" s="218"/>
      <c r="O74" s="315"/>
      <c r="P74" s="373"/>
    </row>
    <row r="75" spans="1:16" x14ac:dyDescent="0.2">
      <c r="A75" s="333"/>
      <c r="B75" s="155" t="s">
        <v>129</v>
      </c>
      <c r="C75" s="63" t="s">
        <v>20</v>
      </c>
      <c r="D75" s="315"/>
      <c r="E75" s="315"/>
      <c r="F75" s="315"/>
      <c r="G75" s="315"/>
      <c r="H75" s="194"/>
      <c r="I75" s="218"/>
      <c r="J75" s="315"/>
      <c r="K75" s="194"/>
      <c r="L75" s="315"/>
      <c r="M75" s="191"/>
      <c r="N75" s="218"/>
      <c r="O75" s="315"/>
      <c r="P75" s="373"/>
    </row>
    <row r="76" spans="1:16" x14ac:dyDescent="0.2">
      <c r="A76" s="333"/>
      <c r="B76" s="155" t="s">
        <v>130</v>
      </c>
      <c r="C76" s="63" t="s">
        <v>20</v>
      </c>
      <c r="D76" s="315"/>
      <c r="E76" s="315"/>
      <c r="F76" s="315"/>
      <c r="G76" s="315"/>
      <c r="H76" s="194"/>
      <c r="I76" s="218"/>
      <c r="J76" s="315"/>
      <c r="K76" s="194"/>
      <c r="L76" s="315"/>
      <c r="M76" s="191"/>
      <c r="N76" s="218"/>
      <c r="O76" s="315"/>
      <c r="P76" s="373"/>
    </row>
    <row r="77" spans="1:16" x14ac:dyDescent="0.2">
      <c r="A77" s="333"/>
      <c r="B77" s="155" t="s">
        <v>131</v>
      </c>
      <c r="C77" s="63" t="s">
        <v>20</v>
      </c>
      <c r="D77" s="315"/>
      <c r="E77" s="315"/>
      <c r="F77" s="315"/>
      <c r="G77" s="315"/>
      <c r="H77" s="194"/>
      <c r="I77" s="218"/>
      <c r="J77" s="315"/>
      <c r="K77" s="194"/>
      <c r="L77" s="315"/>
      <c r="M77" s="191"/>
      <c r="N77" s="218"/>
      <c r="O77" s="315"/>
      <c r="P77" s="373"/>
    </row>
    <row r="78" spans="1:16" x14ac:dyDescent="0.2">
      <c r="A78" s="333"/>
      <c r="B78" s="155" t="s">
        <v>132</v>
      </c>
      <c r="C78" s="63" t="s">
        <v>20</v>
      </c>
      <c r="D78" s="315"/>
      <c r="E78" s="315"/>
      <c r="F78" s="315"/>
      <c r="G78" s="315"/>
      <c r="H78" s="194"/>
      <c r="I78" s="218"/>
      <c r="J78" s="315"/>
      <c r="K78" s="194"/>
      <c r="L78" s="315"/>
      <c r="M78" s="191"/>
      <c r="N78" s="218"/>
      <c r="O78" s="315"/>
      <c r="P78" s="373"/>
    </row>
    <row r="79" spans="1:16" x14ac:dyDescent="0.2">
      <c r="A79" s="333"/>
      <c r="B79" s="155" t="s">
        <v>133</v>
      </c>
      <c r="C79" s="63" t="s">
        <v>20</v>
      </c>
      <c r="D79" s="315"/>
      <c r="E79" s="315"/>
      <c r="F79" s="315"/>
      <c r="G79" s="315"/>
      <c r="H79" s="194"/>
      <c r="I79" s="218"/>
      <c r="J79" s="315"/>
      <c r="K79" s="194"/>
      <c r="L79" s="315"/>
      <c r="M79" s="191"/>
      <c r="N79" s="218"/>
      <c r="O79" s="315"/>
      <c r="P79" s="373"/>
    </row>
    <row r="80" spans="1:16" x14ac:dyDescent="0.2">
      <c r="A80" s="333"/>
      <c r="B80" s="155" t="s">
        <v>134</v>
      </c>
      <c r="C80" s="63" t="s">
        <v>20</v>
      </c>
      <c r="D80" s="315"/>
      <c r="E80" s="315"/>
      <c r="F80" s="315"/>
      <c r="G80" s="315"/>
      <c r="H80" s="194"/>
      <c r="I80" s="218"/>
      <c r="J80" s="315"/>
      <c r="K80" s="194"/>
      <c r="L80" s="315"/>
      <c r="M80" s="191"/>
      <c r="N80" s="218"/>
      <c r="O80" s="315"/>
      <c r="P80" s="373"/>
    </row>
    <row r="81" spans="1:17" x14ac:dyDescent="0.2">
      <c r="A81" s="333"/>
      <c r="B81" s="155" t="s">
        <v>135</v>
      </c>
      <c r="C81" s="63" t="s">
        <v>20</v>
      </c>
      <c r="D81" s="315"/>
      <c r="E81" s="315"/>
      <c r="F81" s="315"/>
      <c r="G81" s="315"/>
      <c r="H81" s="194"/>
      <c r="I81" s="218"/>
      <c r="J81" s="315"/>
      <c r="K81" s="194"/>
      <c r="L81" s="315"/>
      <c r="M81" s="191"/>
      <c r="N81" s="218"/>
      <c r="O81" s="315"/>
      <c r="P81" s="373"/>
    </row>
    <row r="82" spans="1:17" x14ac:dyDescent="0.2">
      <c r="A82" s="333"/>
      <c r="B82" s="155" t="s">
        <v>136</v>
      </c>
      <c r="C82" s="63" t="s">
        <v>20</v>
      </c>
      <c r="D82" s="315"/>
      <c r="E82" s="315"/>
      <c r="F82" s="315"/>
      <c r="G82" s="315"/>
      <c r="H82" s="194"/>
      <c r="I82" s="218"/>
      <c r="J82" s="315"/>
      <c r="K82" s="194"/>
      <c r="L82" s="315"/>
      <c r="M82" s="191"/>
      <c r="N82" s="218"/>
      <c r="O82" s="315"/>
      <c r="P82" s="373"/>
    </row>
    <row r="83" spans="1:17" x14ac:dyDescent="0.2">
      <c r="A83" s="333"/>
      <c r="B83" s="155" t="s">
        <v>137</v>
      </c>
      <c r="C83" s="63" t="s">
        <v>20</v>
      </c>
      <c r="D83" s="315"/>
      <c r="E83" s="315"/>
      <c r="F83" s="315"/>
      <c r="G83" s="315"/>
      <c r="H83" s="194"/>
      <c r="I83" s="218"/>
      <c r="J83" s="315"/>
      <c r="K83" s="194"/>
      <c r="L83" s="315"/>
      <c r="M83" s="191"/>
      <c r="N83" s="218"/>
      <c r="O83" s="315"/>
      <c r="P83" s="373"/>
    </row>
    <row r="84" spans="1:17" x14ac:dyDescent="0.2">
      <c r="A84" s="333"/>
      <c r="B84" s="155" t="s">
        <v>138</v>
      </c>
      <c r="C84" s="63" t="s">
        <v>20</v>
      </c>
      <c r="D84" s="315"/>
      <c r="E84" s="315"/>
      <c r="F84" s="315"/>
      <c r="G84" s="315"/>
      <c r="H84" s="194"/>
      <c r="I84" s="218"/>
      <c r="J84" s="315"/>
      <c r="K84" s="194"/>
      <c r="L84" s="315"/>
      <c r="M84" s="191"/>
      <c r="N84" s="218"/>
      <c r="O84" s="315"/>
      <c r="P84" s="373"/>
    </row>
    <row r="85" spans="1:17" x14ac:dyDescent="0.2">
      <c r="A85" s="333"/>
      <c r="B85" s="155" t="s">
        <v>139</v>
      </c>
      <c r="C85" s="154"/>
      <c r="D85" s="315"/>
      <c r="E85" s="315"/>
      <c r="F85" s="315"/>
      <c r="G85" s="315"/>
      <c r="H85" s="194"/>
      <c r="I85" s="218"/>
      <c r="J85" s="315"/>
      <c r="K85" s="194"/>
      <c r="L85" s="315"/>
      <c r="M85" s="191"/>
      <c r="N85" s="218"/>
      <c r="O85" s="315"/>
      <c r="P85" s="373"/>
    </row>
    <row r="86" spans="1:17" x14ac:dyDescent="0.2">
      <c r="A86" s="333"/>
      <c r="B86" s="155" t="s">
        <v>140</v>
      </c>
      <c r="C86" s="154"/>
      <c r="D86" s="315"/>
      <c r="E86" s="315"/>
      <c r="F86" s="315"/>
      <c r="G86" s="315"/>
      <c r="H86" s="194"/>
      <c r="I86" s="218"/>
      <c r="J86" s="315"/>
      <c r="K86" s="194"/>
      <c r="L86" s="315"/>
      <c r="M86" s="191"/>
      <c r="N86" s="218"/>
      <c r="O86" s="315"/>
      <c r="P86" s="373"/>
    </row>
    <row r="87" spans="1:17" x14ac:dyDescent="0.2">
      <c r="A87" s="333"/>
      <c r="B87" s="155" t="s">
        <v>141</v>
      </c>
      <c r="C87" s="154"/>
      <c r="D87" s="315"/>
      <c r="E87" s="315"/>
      <c r="F87" s="315"/>
      <c r="G87" s="315"/>
      <c r="H87" s="194"/>
      <c r="I87" s="218"/>
      <c r="J87" s="315"/>
      <c r="K87" s="194"/>
      <c r="L87" s="315"/>
      <c r="M87" s="191"/>
      <c r="N87" s="218"/>
      <c r="O87" s="315"/>
      <c r="P87" s="373"/>
    </row>
    <row r="88" spans="1:17" x14ac:dyDescent="0.2">
      <c r="A88" s="333"/>
      <c r="B88" s="155" t="s">
        <v>142</v>
      </c>
      <c r="C88" s="154"/>
      <c r="D88" s="315"/>
      <c r="E88" s="315"/>
      <c r="F88" s="315"/>
      <c r="G88" s="315"/>
      <c r="H88" s="194"/>
      <c r="I88" s="218"/>
      <c r="J88" s="315"/>
      <c r="K88" s="194"/>
      <c r="L88" s="315"/>
      <c r="M88" s="191"/>
      <c r="N88" s="218"/>
      <c r="O88" s="315"/>
      <c r="P88" s="373"/>
    </row>
    <row r="89" spans="1:17" x14ac:dyDescent="0.2">
      <c r="A89" s="333"/>
      <c r="B89" s="155" t="s">
        <v>143</v>
      </c>
      <c r="C89" s="154"/>
      <c r="D89" s="315"/>
      <c r="E89" s="315"/>
      <c r="F89" s="315"/>
      <c r="G89" s="315"/>
      <c r="H89" s="194"/>
      <c r="I89" s="218"/>
      <c r="J89" s="315"/>
      <c r="K89" s="194"/>
      <c r="L89" s="315"/>
      <c r="M89" s="191"/>
      <c r="N89" s="218"/>
      <c r="O89" s="315"/>
      <c r="P89" s="373"/>
    </row>
    <row r="90" spans="1:17" x14ac:dyDescent="0.2">
      <c r="A90" s="334"/>
      <c r="B90" s="158" t="s">
        <v>144</v>
      </c>
      <c r="C90" s="154"/>
      <c r="D90" s="321"/>
      <c r="E90" s="321"/>
      <c r="F90" s="321"/>
      <c r="G90" s="321"/>
      <c r="H90" s="213"/>
      <c r="I90" s="221"/>
      <c r="J90" s="321"/>
      <c r="K90" s="213"/>
      <c r="L90" s="321"/>
      <c r="M90" s="231"/>
      <c r="N90" s="221"/>
      <c r="O90" s="321"/>
      <c r="P90" s="374"/>
      <c r="Q90" s="63"/>
    </row>
    <row r="91" spans="1:17" ht="15.75" x14ac:dyDescent="0.25">
      <c r="B91" s="2" t="s">
        <v>33</v>
      </c>
      <c r="C91" s="56"/>
      <c r="D91" s="156">
        <f>SUM(D5:D90)</f>
        <v>0</v>
      </c>
      <c r="E91" s="156">
        <f>SUM(E5:E90)</f>
        <v>0</v>
      </c>
      <c r="F91" s="156">
        <f>SUM(F5:F90)</f>
        <v>0</v>
      </c>
      <c r="G91" s="156">
        <f>SUM(G5:G34)</f>
        <v>0</v>
      </c>
      <c r="H91" s="156">
        <f>SUM(H5:H90)</f>
        <v>0</v>
      </c>
      <c r="I91" s="218"/>
      <c r="J91" s="159">
        <f>SUM(J5:J90)</f>
        <v>0</v>
      </c>
      <c r="K91" s="159">
        <f>SUM(K5:K90)</f>
        <v>0</v>
      </c>
      <c r="L91" s="159">
        <f>SUM(L5:L90)</f>
        <v>0</v>
      </c>
      <c r="M91" s="159">
        <f>SUM(M5:M90)</f>
        <v>0</v>
      </c>
      <c r="N91" s="218"/>
      <c r="O91" s="160">
        <f>SUM(O5:O90)</f>
        <v>0</v>
      </c>
      <c r="P91" s="17"/>
    </row>
    <row r="92" spans="1:17" x14ac:dyDescent="0.2">
      <c r="B92" s="25"/>
      <c r="C92" t="s">
        <v>20</v>
      </c>
      <c r="D92" s="138"/>
      <c r="E92" s="18"/>
      <c r="F92" s="35"/>
      <c r="G92" s="35"/>
      <c r="H92" s="35"/>
      <c r="I92" s="219"/>
      <c r="J92" s="130"/>
      <c r="K92" s="35"/>
      <c r="L92" s="25"/>
      <c r="M92" s="35"/>
      <c r="N92" s="219"/>
      <c r="O92" s="25"/>
      <c r="P92" s="25"/>
    </row>
    <row r="93" spans="1:17" x14ac:dyDescent="0.2">
      <c r="B93" s="31"/>
      <c r="C93" t="s">
        <v>20</v>
      </c>
      <c r="D93" s="60"/>
      <c r="E93" s="23"/>
      <c r="F93" s="54"/>
      <c r="G93" s="54"/>
      <c r="H93" s="54"/>
      <c r="I93" s="222"/>
      <c r="J93" s="61"/>
      <c r="K93" s="54"/>
      <c r="L93" s="31"/>
      <c r="M93" s="54"/>
      <c r="N93" s="222"/>
      <c r="O93" s="31"/>
      <c r="P93" s="31"/>
    </row>
    <row r="94" spans="1:17" x14ac:dyDescent="0.2">
      <c r="A94" s="332"/>
      <c r="B94" s="50" t="s">
        <v>34</v>
      </c>
      <c r="C94" s="51"/>
      <c r="D94" s="315"/>
      <c r="E94" s="315"/>
      <c r="F94" s="315"/>
      <c r="G94" s="315"/>
      <c r="H94" s="194"/>
      <c r="I94" s="218"/>
      <c r="J94" s="315"/>
      <c r="K94" s="194"/>
      <c r="L94" s="315"/>
      <c r="M94" s="191"/>
      <c r="N94" s="218"/>
      <c r="O94" s="315"/>
      <c r="P94" s="373"/>
    </row>
    <row r="95" spans="1:17" x14ac:dyDescent="0.2">
      <c r="A95" s="333"/>
      <c r="B95" s="25" t="s">
        <v>145</v>
      </c>
      <c r="C95" s="17"/>
      <c r="D95" s="315"/>
      <c r="E95" s="315"/>
      <c r="F95" s="315"/>
      <c r="G95" s="315"/>
      <c r="H95" s="194"/>
      <c r="I95" s="218"/>
      <c r="J95" s="315"/>
      <c r="K95" s="194"/>
      <c r="L95" s="315"/>
      <c r="M95" s="191"/>
      <c r="N95" s="218"/>
      <c r="O95" s="315"/>
      <c r="P95" s="373"/>
    </row>
    <row r="96" spans="1:17" x14ac:dyDescent="0.2">
      <c r="A96" s="333"/>
      <c r="B96" s="25" t="s">
        <v>146</v>
      </c>
      <c r="C96" t="s">
        <v>20</v>
      </c>
      <c r="D96" s="315"/>
      <c r="E96" s="315"/>
      <c r="F96" s="315"/>
      <c r="G96" s="315"/>
      <c r="H96" s="194"/>
      <c r="I96" s="218"/>
      <c r="J96" s="315"/>
      <c r="K96" s="194"/>
      <c r="L96" s="315"/>
      <c r="M96" s="191"/>
      <c r="N96" s="218"/>
      <c r="O96" s="315"/>
      <c r="P96" s="373"/>
    </row>
    <row r="97" spans="1:16" x14ac:dyDescent="0.2">
      <c r="A97" s="333"/>
      <c r="B97" s="25" t="s">
        <v>35</v>
      </c>
      <c r="C97" s="17"/>
      <c r="D97" s="315"/>
      <c r="E97" s="315"/>
      <c r="F97" s="315"/>
      <c r="G97" s="315"/>
      <c r="H97" s="194"/>
      <c r="I97" s="218"/>
      <c r="J97" s="315"/>
      <c r="K97" s="194"/>
      <c r="L97" s="315"/>
      <c r="M97" s="191"/>
      <c r="N97" s="218"/>
      <c r="O97" s="315"/>
      <c r="P97" s="373"/>
    </row>
    <row r="98" spans="1:16" x14ac:dyDescent="0.2">
      <c r="A98" s="333"/>
      <c r="B98" s="25" t="s">
        <v>147</v>
      </c>
      <c r="C98" s="17"/>
      <c r="D98" s="315"/>
      <c r="E98" s="315"/>
      <c r="F98" s="315"/>
      <c r="G98" s="315"/>
      <c r="H98" s="194"/>
      <c r="I98" s="218"/>
      <c r="J98" s="315"/>
      <c r="K98" s="194"/>
      <c r="L98" s="315"/>
      <c r="M98" s="191"/>
      <c r="N98" s="218"/>
      <c r="O98" s="315"/>
      <c r="P98" s="373"/>
    </row>
    <row r="99" spans="1:16" x14ac:dyDescent="0.2">
      <c r="A99" s="333"/>
      <c r="B99" s="25" t="s">
        <v>36</v>
      </c>
      <c r="C99" s="17"/>
      <c r="D99" s="315"/>
      <c r="E99" s="315"/>
      <c r="F99" s="315"/>
      <c r="G99" s="315"/>
      <c r="H99" s="194"/>
      <c r="I99" s="218"/>
      <c r="J99" s="315"/>
      <c r="K99" s="194"/>
      <c r="L99" s="315"/>
      <c r="M99" s="191"/>
      <c r="N99" s="218"/>
      <c r="O99" s="315"/>
      <c r="P99" s="373"/>
    </row>
    <row r="100" spans="1:16" x14ac:dyDescent="0.2">
      <c r="A100" s="333"/>
      <c r="B100" s="25" t="s">
        <v>37</v>
      </c>
      <c r="C100" t="s">
        <v>20</v>
      </c>
      <c r="D100" s="315"/>
      <c r="E100" s="315"/>
      <c r="F100" s="315"/>
      <c r="G100" s="315"/>
      <c r="H100" s="194"/>
      <c r="I100" s="218"/>
      <c r="J100" s="315"/>
      <c r="K100" s="194"/>
      <c r="L100" s="315"/>
      <c r="M100" s="191"/>
      <c r="N100" s="218"/>
      <c r="O100" s="315"/>
      <c r="P100" s="373"/>
    </row>
    <row r="101" spans="1:16" x14ac:dyDescent="0.2">
      <c r="A101" s="333"/>
      <c r="B101" s="145" t="s">
        <v>148</v>
      </c>
      <c r="C101" s="17"/>
      <c r="D101" s="315"/>
      <c r="E101" s="315"/>
      <c r="F101" s="315"/>
      <c r="G101" s="315"/>
      <c r="H101" s="194"/>
      <c r="I101" s="218"/>
      <c r="J101" s="315"/>
      <c r="K101" s="194"/>
      <c r="L101" s="315"/>
      <c r="M101" s="191"/>
      <c r="N101" s="218"/>
      <c r="O101" s="315"/>
      <c r="P101" s="373"/>
    </row>
    <row r="102" spans="1:16" x14ac:dyDescent="0.2">
      <c r="A102" s="333"/>
      <c r="B102" s="145" t="s">
        <v>149</v>
      </c>
      <c r="C102" t="s">
        <v>20</v>
      </c>
      <c r="D102" s="315"/>
      <c r="E102" s="315"/>
      <c r="F102" s="315"/>
      <c r="G102" s="315"/>
      <c r="H102" s="194"/>
      <c r="I102" s="218"/>
      <c r="J102" s="315"/>
      <c r="K102" s="194"/>
      <c r="L102" s="315"/>
      <c r="M102" s="191"/>
      <c r="N102" s="218"/>
      <c r="O102" s="315"/>
      <c r="P102" s="373"/>
    </row>
    <row r="103" spans="1:16" x14ac:dyDescent="0.2">
      <c r="A103" s="333"/>
      <c r="B103" s="145" t="s">
        <v>150</v>
      </c>
      <c r="C103" t="s">
        <v>20</v>
      </c>
      <c r="D103" s="315"/>
      <c r="E103" s="315"/>
      <c r="F103" s="315"/>
      <c r="G103" s="315"/>
      <c r="H103" s="194"/>
      <c r="I103" s="218"/>
      <c r="J103" s="315"/>
      <c r="K103" s="194"/>
      <c r="L103" s="315"/>
      <c r="M103" s="191"/>
      <c r="N103" s="218"/>
      <c r="O103" s="315"/>
      <c r="P103" s="373"/>
    </row>
    <row r="104" spans="1:16" x14ac:dyDescent="0.2">
      <c r="A104" s="333"/>
      <c r="B104" s="145" t="s">
        <v>151</v>
      </c>
      <c r="C104" t="s">
        <v>20</v>
      </c>
      <c r="D104" s="315"/>
      <c r="E104" s="315"/>
      <c r="F104" s="315"/>
      <c r="G104" s="315"/>
      <c r="H104" s="194"/>
      <c r="I104" s="218"/>
      <c r="J104" s="315"/>
      <c r="K104" s="194"/>
      <c r="L104" s="315"/>
      <c r="M104" s="191"/>
      <c r="N104" s="218"/>
      <c r="O104" s="315"/>
      <c r="P104" s="373"/>
    </row>
    <row r="105" spans="1:16" x14ac:dyDescent="0.2">
      <c r="A105" s="333"/>
      <c r="B105" s="145" t="s">
        <v>152</v>
      </c>
      <c r="C105" t="s">
        <v>20</v>
      </c>
      <c r="D105" s="315"/>
      <c r="E105" s="315"/>
      <c r="F105" s="315"/>
      <c r="G105" s="315"/>
      <c r="H105" s="194"/>
      <c r="I105" s="218"/>
      <c r="J105" s="315"/>
      <c r="K105" s="194"/>
      <c r="L105" s="315"/>
      <c r="M105" s="191"/>
      <c r="N105" s="218"/>
      <c r="O105" s="315"/>
      <c r="P105" s="373"/>
    </row>
    <row r="106" spans="1:16" x14ac:dyDescent="0.2">
      <c r="A106" s="333"/>
      <c r="B106" s="145" t="s">
        <v>153</v>
      </c>
      <c r="C106" t="s">
        <v>20</v>
      </c>
      <c r="D106" s="315"/>
      <c r="E106" s="315"/>
      <c r="F106" s="315"/>
      <c r="G106" s="315"/>
      <c r="H106" s="194"/>
      <c r="I106" s="218"/>
      <c r="J106" s="315"/>
      <c r="K106" s="194"/>
      <c r="L106" s="315"/>
      <c r="M106" s="191"/>
      <c r="N106" s="218"/>
      <c r="O106" s="315"/>
      <c r="P106" s="373"/>
    </row>
    <row r="107" spans="1:16" x14ac:dyDescent="0.2">
      <c r="A107" s="333"/>
      <c r="B107" s="25" t="s">
        <v>43</v>
      </c>
      <c r="C107" t="s">
        <v>20</v>
      </c>
      <c r="D107" s="315"/>
      <c r="E107" s="315"/>
      <c r="F107" s="315"/>
      <c r="G107" s="315"/>
      <c r="H107" s="194"/>
      <c r="I107" s="218"/>
      <c r="J107" s="315"/>
      <c r="K107" s="194"/>
      <c r="L107" s="315"/>
      <c r="M107" s="191"/>
      <c r="N107" s="218"/>
      <c r="O107" s="315"/>
      <c r="P107" s="373"/>
    </row>
    <row r="108" spans="1:16" x14ac:dyDescent="0.2">
      <c r="A108" s="333"/>
      <c r="B108" s="25" t="s">
        <v>44</v>
      </c>
      <c r="C108" t="s">
        <v>20</v>
      </c>
      <c r="D108" s="315"/>
      <c r="E108" s="315"/>
      <c r="F108" s="315"/>
      <c r="G108" s="315"/>
      <c r="H108" s="194"/>
      <c r="I108" s="218"/>
      <c r="J108" s="315"/>
      <c r="K108" s="194"/>
      <c r="L108" s="315"/>
      <c r="M108" s="191"/>
      <c r="N108" s="218"/>
      <c r="O108" s="315"/>
      <c r="P108" s="373"/>
    </row>
    <row r="109" spans="1:16" x14ac:dyDescent="0.2">
      <c r="A109" s="333"/>
      <c r="B109" s="25" t="s">
        <v>45</v>
      </c>
      <c r="C109" t="s">
        <v>20</v>
      </c>
      <c r="D109" s="315"/>
      <c r="E109" s="315"/>
      <c r="F109" s="315"/>
      <c r="G109" s="315"/>
      <c r="H109" s="194"/>
      <c r="I109" s="218"/>
      <c r="J109" s="315"/>
      <c r="K109" s="194"/>
      <c r="L109" s="315"/>
      <c r="M109" s="191"/>
      <c r="N109" s="218"/>
      <c r="O109" s="315"/>
      <c r="P109" s="373"/>
    </row>
    <row r="110" spans="1:16" x14ac:dyDescent="0.2">
      <c r="A110" s="333"/>
      <c r="B110" s="25" t="s">
        <v>46</v>
      </c>
      <c r="C110" t="s">
        <v>20</v>
      </c>
      <c r="D110" s="315"/>
      <c r="E110" s="315"/>
      <c r="F110" s="315"/>
      <c r="G110" s="315"/>
      <c r="H110" s="194"/>
      <c r="I110" s="218"/>
      <c r="J110" s="315"/>
      <c r="K110" s="194"/>
      <c r="L110" s="315"/>
      <c r="M110" s="191"/>
      <c r="N110" s="218"/>
      <c r="O110" s="315"/>
      <c r="P110" s="373"/>
    </row>
    <row r="111" spans="1:16" x14ac:dyDescent="0.2">
      <c r="A111" s="333"/>
      <c r="B111" s="25" t="s">
        <v>47</v>
      </c>
      <c r="C111" t="s">
        <v>20</v>
      </c>
      <c r="D111" s="315"/>
      <c r="E111" s="315"/>
      <c r="F111" s="315"/>
      <c r="G111" s="315"/>
      <c r="H111" s="194"/>
      <c r="I111" s="218"/>
      <c r="J111" s="315"/>
      <c r="K111" s="194"/>
      <c r="L111" s="315"/>
      <c r="M111" s="191"/>
      <c r="N111" s="218"/>
      <c r="O111" s="315"/>
      <c r="P111" s="373"/>
    </row>
    <row r="112" spans="1:16" x14ac:dyDescent="0.2">
      <c r="A112" s="333"/>
      <c r="B112" s="25" t="s">
        <v>48</v>
      </c>
      <c r="C112" t="s">
        <v>20</v>
      </c>
      <c r="D112" s="315"/>
      <c r="E112" s="315"/>
      <c r="F112" s="315"/>
      <c r="G112" s="315"/>
      <c r="H112" s="194"/>
      <c r="I112" s="218"/>
      <c r="J112" s="315"/>
      <c r="K112" s="194"/>
      <c r="L112" s="315"/>
      <c r="M112" s="191"/>
      <c r="N112" s="218"/>
      <c r="O112" s="315"/>
      <c r="P112" s="373"/>
    </row>
    <row r="113" spans="1:16" x14ac:dyDescent="0.2">
      <c r="A113" s="333"/>
      <c r="B113" s="25" t="s">
        <v>49</v>
      </c>
      <c r="C113" t="s">
        <v>20</v>
      </c>
      <c r="D113" s="315"/>
      <c r="E113" s="315"/>
      <c r="F113" s="315"/>
      <c r="G113" s="315"/>
      <c r="H113" s="194"/>
      <c r="I113" s="218"/>
      <c r="J113" s="315"/>
      <c r="K113" s="194"/>
      <c r="L113" s="315"/>
      <c r="M113" s="191"/>
      <c r="N113" s="218"/>
      <c r="O113" s="315"/>
      <c r="P113" s="373"/>
    </row>
    <row r="114" spans="1:16" x14ac:dyDescent="0.2">
      <c r="A114" s="333"/>
      <c r="B114" s="25" t="s">
        <v>154</v>
      </c>
      <c r="C114" t="s">
        <v>20</v>
      </c>
      <c r="D114" s="315"/>
      <c r="E114" s="315"/>
      <c r="F114" s="315"/>
      <c r="G114" s="315"/>
      <c r="H114" s="194"/>
      <c r="I114" s="218"/>
      <c r="J114" s="315"/>
      <c r="K114" s="194"/>
      <c r="L114" s="315"/>
      <c r="M114" s="191"/>
      <c r="N114" s="218"/>
      <c r="O114" s="315"/>
      <c r="P114" s="373"/>
    </row>
    <row r="115" spans="1:16" x14ac:dyDescent="0.2">
      <c r="A115" s="333"/>
      <c r="B115" s="25" t="s">
        <v>155</v>
      </c>
      <c r="C115" t="s">
        <v>20</v>
      </c>
      <c r="D115" s="315"/>
      <c r="E115" s="315"/>
      <c r="F115" s="315"/>
      <c r="G115" s="315"/>
      <c r="H115" s="194"/>
      <c r="I115" s="218"/>
      <c r="J115" s="315"/>
      <c r="K115" s="194"/>
      <c r="L115" s="315"/>
      <c r="M115" s="191"/>
      <c r="N115" s="218"/>
      <c r="O115" s="315"/>
      <c r="P115" s="373"/>
    </row>
    <row r="116" spans="1:16" x14ac:dyDescent="0.2">
      <c r="A116" s="333"/>
      <c r="B116" s="25" t="s">
        <v>156</v>
      </c>
      <c r="C116" t="s">
        <v>20</v>
      </c>
      <c r="D116" s="315"/>
      <c r="E116" s="315"/>
      <c r="F116" s="315"/>
      <c r="G116" s="315"/>
      <c r="H116" s="194"/>
      <c r="I116" s="218"/>
      <c r="J116" s="315"/>
      <c r="K116" s="194"/>
      <c r="L116" s="315"/>
      <c r="M116" s="191"/>
      <c r="N116" s="218"/>
      <c r="O116" s="315"/>
      <c r="P116" s="373"/>
    </row>
    <row r="117" spans="1:16" x14ac:dyDescent="0.2">
      <c r="A117" s="333"/>
      <c r="B117" s="25" t="s">
        <v>157</v>
      </c>
      <c r="C117" t="s">
        <v>20</v>
      </c>
      <c r="D117" s="315"/>
      <c r="E117" s="315"/>
      <c r="F117" s="315"/>
      <c r="G117" s="315"/>
      <c r="H117" s="194"/>
      <c r="I117" s="218"/>
      <c r="J117" s="315"/>
      <c r="K117" s="194"/>
      <c r="L117" s="315"/>
      <c r="M117" s="191"/>
      <c r="N117" s="218"/>
      <c r="O117" s="315"/>
      <c r="P117" s="373"/>
    </row>
    <row r="118" spans="1:16" x14ac:dyDescent="0.2">
      <c r="A118" s="333"/>
      <c r="B118" s="25" t="s">
        <v>158</v>
      </c>
      <c r="C118" t="s">
        <v>20</v>
      </c>
      <c r="D118" s="315"/>
      <c r="E118" s="315"/>
      <c r="F118" s="315"/>
      <c r="G118" s="315"/>
      <c r="H118" s="194"/>
      <c r="I118" s="218"/>
      <c r="J118" s="315"/>
      <c r="K118" s="194"/>
      <c r="L118" s="315"/>
      <c r="M118" s="191"/>
      <c r="N118" s="218"/>
      <c r="O118" s="315"/>
      <c r="P118" s="373"/>
    </row>
    <row r="119" spans="1:16" x14ac:dyDescent="0.2">
      <c r="A119" s="333"/>
      <c r="B119" s="25" t="s">
        <v>159</v>
      </c>
      <c r="C119" t="s">
        <v>20</v>
      </c>
      <c r="D119" s="315"/>
      <c r="E119" s="315"/>
      <c r="F119" s="315"/>
      <c r="G119" s="315"/>
      <c r="H119" s="194"/>
      <c r="I119" s="218"/>
      <c r="J119" s="315"/>
      <c r="K119" s="194"/>
      <c r="L119" s="315"/>
      <c r="M119" s="191"/>
      <c r="N119" s="218"/>
      <c r="O119" s="315"/>
      <c r="P119" s="373"/>
    </row>
    <row r="120" spans="1:16" x14ac:dyDescent="0.2">
      <c r="A120" s="333"/>
      <c r="B120" s="25" t="s">
        <v>160</v>
      </c>
      <c r="C120" t="s">
        <v>20</v>
      </c>
      <c r="D120" s="315"/>
      <c r="E120" s="315"/>
      <c r="F120" s="315"/>
      <c r="G120" s="315"/>
      <c r="H120" s="194"/>
      <c r="I120" s="218"/>
      <c r="J120" s="315"/>
      <c r="K120" s="194"/>
      <c r="L120" s="315"/>
      <c r="M120" s="191"/>
      <c r="N120" s="218"/>
      <c r="O120" s="315"/>
      <c r="P120" s="373"/>
    </row>
    <row r="121" spans="1:16" x14ac:dyDescent="0.2">
      <c r="A121" s="333"/>
      <c r="B121" s="25" t="s">
        <v>161</v>
      </c>
      <c r="C121" t="s">
        <v>20</v>
      </c>
      <c r="D121" s="315"/>
      <c r="E121" s="315"/>
      <c r="F121" s="315"/>
      <c r="G121" s="315"/>
      <c r="H121" s="194"/>
      <c r="I121" s="218"/>
      <c r="J121" s="315"/>
      <c r="K121" s="194"/>
      <c r="L121" s="315"/>
      <c r="M121" s="191"/>
      <c r="N121" s="218"/>
      <c r="O121" s="315"/>
      <c r="P121" s="373"/>
    </row>
    <row r="122" spans="1:16" x14ac:dyDescent="0.2">
      <c r="A122" s="333"/>
      <c r="B122" s="25" t="s">
        <v>50</v>
      </c>
      <c r="C122" s="17"/>
      <c r="D122" s="315"/>
      <c r="E122" s="315"/>
      <c r="F122" s="315"/>
      <c r="G122" s="315"/>
      <c r="H122" s="194"/>
      <c r="I122" s="218"/>
      <c r="J122" s="315"/>
      <c r="K122" s="194"/>
      <c r="L122" s="315"/>
      <c r="M122" s="191"/>
      <c r="N122" s="218"/>
      <c r="O122" s="315"/>
      <c r="P122" s="373"/>
    </row>
    <row r="123" spans="1:16" x14ac:dyDescent="0.2">
      <c r="A123" s="333"/>
      <c r="B123" s="145" t="s">
        <v>162</v>
      </c>
      <c r="C123" s="17"/>
      <c r="D123" s="315"/>
      <c r="E123" s="315"/>
      <c r="F123" s="315"/>
      <c r="G123" s="315"/>
      <c r="H123" s="194"/>
      <c r="I123" s="218"/>
      <c r="J123" s="315"/>
      <c r="K123" s="194"/>
      <c r="L123" s="315"/>
      <c r="M123" s="191"/>
      <c r="N123" s="218"/>
      <c r="O123" s="315"/>
      <c r="P123" s="373"/>
    </row>
    <row r="124" spans="1:16" x14ac:dyDescent="0.2">
      <c r="A124" s="333"/>
      <c r="B124" s="145" t="s">
        <v>163</v>
      </c>
      <c r="C124" s="17"/>
      <c r="D124" s="315"/>
      <c r="E124" s="315"/>
      <c r="F124" s="315"/>
      <c r="G124" s="315"/>
      <c r="H124" s="194"/>
      <c r="I124" s="218"/>
      <c r="J124" s="315"/>
      <c r="K124" s="194"/>
      <c r="L124" s="315"/>
      <c r="M124" s="191"/>
      <c r="N124" s="218"/>
      <c r="O124" s="315"/>
      <c r="P124" s="373"/>
    </row>
    <row r="125" spans="1:16" x14ac:dyDescent="0.2">
      <c r="A125" s="333"/>
      <c r="B125" s="145" t="s">
        <v>164</v>
      </c>
      <c r="C125" s="17"/>
      <c r="D125" s="315"/>
      <c r="E125" s="315"/>
      <c r="F125" s="315"/>
      <c r="G125" s="315"/>
      <c r="H125" s="194"/>
      <c r="I125" s="218"/>
      <c r="J125" s="315"/>
      <c r="K125" s="194"/>
      <c r="L125" s="315"/>
      <c r="M125" s="191"/>
      <c r="N125" s="218"/>
      <c r="O125" s="315"/>
      <c r="P125" s="373"/>
    </row>
    <row r="126" spans="1:16" x14ac:dyDescent="0.2">
      <c r="A126" s="333"/>
      <c r="B126" s="145" t="s">
        <v>165</v>
      </c>
      <c r="C126" s="17"/>
      <c r="D126" s="315"/>
      <c r="E126" s="315"/>
      <c r="F126" s="315"/>
      <c r="G126" s="315"/>
      <c r="H126" s="194"/>
      <c r="I126" s="218"/>
      <c r="J126" s="315"/>
      <c r="K126" s="194"/>
      <c r="L126" s="315"/>
      <c r="M126" s="191"/>
      <c r="N126" s="218"/>
      <c r="O126" s="315"/>
      <c r="P126" s="373"/>
    </row>
    <row r="127" spans="1:16" x14ac:dyDescent="0.2">
      <c r="A127" s="333"/>
      <c r="B127" s="25" t="s">
        <v>51</v>
      </c>
      <c r="C127" s="17"/>
      <c r="D127" s="315"/>
      <c r="E127" s="315"/>
      <c r="F127" s="315"/>
      <c r="G127" s="315"/>
      <c r="H127" s="194"/>
      <c r="I127" s="218"/>
      <c r="J127" s="315"/>
      <c r="K127" s="194"/>
      <c r="L127" s="315"/>
      <c r="M127" s="191"/>
      <c r="N127" s="218"/>
      <c r="O127" s="315"/>
      <c r="P127" s="373"/>
    </row>
    <row r="128" spans="1:16" x14ac:dyDescent="0.2">
      <c r="A128" s="333"/>
      <c r="B128" s="25" t="s">
        <v>52</v>
      </c>
      <c r="C128" s="17"/>
      <c r="D128" s="315"/>
      <c r="E128" s="315"/>
      <c r="F128" s="315"/>
      <c r="G128" s="315"/>
      <c r="H128" s="194"/>
      <c r="I128" s="218"/>
      <c r="J128" s="315"/>
      <c r="K128" s="194"/>
      <c r="L128" s="315"/>
      <c r="M128" s="191"/>
      <c r="N128" s="218"/>
      <c r="O128" s="315"/>
      <c r="P128" s="373"/>
    </row>
    <row r="129" spans="1:18" x14ac:dyDescent="0.2">
      <c r="A129" s="333"/>
      <c r="B129" s="25" t="s">
        <v>53</v>
      </c>
      <c r="C129" s="17"/>
      <c r="D129" s="315"/>
      <c r="E129" s="315"/>
      <c r="F129" s="315"/>
      <c r="G129" s="315"/>
      <c r="H129" s="194"/>
      <c r="I129" s="218"/>
      <c r="J129" s="315"/>
      <c r="K129" s="194"/>
      <c r="L129" s="315"/>
      <c r="M129" s="191"/>
      <c r="N129" s="218"/>
      <c r="O129" s="315"/>
      <c r="P129" s="373"/>
    </row>
    <row r="130" spans="1:18" x14ac:dyDescent="0.2">
      <c r="A130" s="333"/>
      <c r="B130" s="378" t="s">
        <v>166</v>
      </c>
      <c r="C130" s="17"/>
      <c r="D130" s="315"/>
      <c r="E130" s="315"/>
      <c r="F130" s="315"/>
      <c r="G130" s="315"/>
      <c r="H130" s="194"/>
      <c r="I130" s="218"/>
      <c r="J130" s="315"/>
      <c r="K130" s="194"/>
      <c r="L130" s="315"/>
      <c r="M130" s="191"/>
      <c r="N130" s="218"/>
      <c r="O130" s="315"/>
      <c r="P130" s="373"/>
    </row>
    <row r="131" spans="1:18" x14ac:dyDescent="0.2">
      <c r="A131" s="333"/>
      <c r="B131" s="145" t="s">
        <v>167</v>
      </c>
      <c r="C131" t="s">
        <v>20</v>
      </c>
      <c r="D131" s="315"/>
      <c r="E131" s="315"/>
      <c r="F131" s="315"/>
      <c r="G131" s="315"/>
      <c r="H131" s="194"/>
      <c r="I131" s="218"/>
      <c r="J131" s="315"/>
      <c r="K131" s="194"/>
      <c r="L131" s="315"/>
      <c r="M131" s="191"/>
      <c r="N131" s="218"/>
      <c r="O131" s="315"/>
      <c r="P131" s="373"/>
    </row>
    <row r="132" spans="1:18" x14ac:dyDescent="0.2">
      <c r="A132" s="333"/>
      <c r="B132" s="378" t="s">
        <v>168</v>
      </c>
      <c r="C132" s="17"/>
      <c r="D132" s="315"/>
      <c r="E132" s="315"/>
      <c r="F132" s="315"/>
      <c r="G132" s="315"/>
      <c r="H132" s="194"/>
      <c r="I132" s="218"/>
      <c r="J132" s="315"/>
      <c r="K132" s="194"/>
      <c r="L132" s="315"/>
      <c r="M132" s="191"/>
      <c r="N132" s="218"/>
      <c r="O132" s="315"/>
      <c r="P132" s="373"/>
    </row>
    <row r="133" spans="1:18" x14ac:dyDescent="0.2">
      <c r="A133" s="333"/>
      <c r="B133" s="25" t="s">
        <v>169</v>
      </c>
      <c r="C133" t="s">
        <v>20</v>
      </c>
      <c r="D133" s="315"/>
      <c r="E133" s="315"/>
      <c r="F133" s="315"/>
      <c r="G133" s="315"/>
      <c r="H133" s="194"/>
      <c r="I133" s="218"/>
      <c r="J133" s="315"/>
      <c r="K133" s="194"/>
      <c r="L133" s="315"/>
      <c r="M133" s="191"/>
      <c r="N133" s="218"/>
      <c r="O133" s="315"/>
      <c r="P133" s="373"/>
    </row>
    <row r="134" spans="1:18" x14ac:dyDescent="0.2">
      <c r="A134" s="333"/>
      <c r="B134" s="378" t="s">
        <v>170</v>
      </c>
      <c r="C134" s="17"/>
      <c r="D134" s="315"/>
      <c r="E134" s="315"/>
      <c r="F134" s="315"/>
      <c r="G134" s="315"/>
      <c r="H134" s="194"/>
      <c r="I134" s="218"/>
      <c r="J134" s="315"/>
      <c r="K134" s="194"/>
      <c r="L134" s="315"/>
      <c r="M134" s="191"/>
      <c r="N134" s="218"/>
      <c r="O134" s="315"/>
      <c r="P134" s="373"/>
      <c r="R134" s="63"/>
    </row>
    <row r="135" spans="1:18" x14ac:dyDescent="0.2">
      <c r="A135" s="333"/>
      <c r="B135" s="378" t="s">
        <v>171</v>
      </c>
      <c r="C135" s="17"/>
      <c r="D135" s="315"/>
      <c r="E135" s="315"/>
      <c r="F135" s="315"/>
      <c r="G135" s="315"/>
      <c r="H135" s="194"/>
      <c r="I135" s="218"/>
      <c r="J135" s="315"/>
      <c r="K135" s="194"/>
      <c r="L135" s="315"/>
      <c r="M135" s="191"/>
      <c r="N135" s="218"/>
      <c r="O135" s="315"/>
      <c r="P135" s="373"/>
      <c r="R135" s="63"/>
    </row>
    <row r="136" spans="1:18" x14ac:dyDescent="0.2">
      <c r="A136" s="333"/>
      <c r="B136" s="378" t="s">
        <v>172</v>
      </c>
      <c r="C136" t="s">
        <v>20</v>
      </c>
      <c r="D136" s="315"/>
      <c r="E136" s="315"/>
      <c r="F136" s="315"/>
      <c r="G136" s="315"/>
      <c r="H136" s="194"/>
      <c r="I136" s="218"/>
      <c r="J136" s="315"/>
      <c r="K136" s="194"/>
      <c r="L136" s="315"/>
      <c r="M136" s="191"/>
      <c r="N136" s="218"/>
      <c r="O136" s="315"/>
      <c r="P136" s="373"/>
    </row>
    <row r="137" spans="1:18" x14ac:dyDescent="0.2">
      <c r="A137" s="333"/>
      <c r="B137" s="95" t="s">
        <v>173</v>
      </c>
      <c r="C137" t="s">
        <v>20</v>
      </c>
      <c r="D137" s="315"/>
      <c r="E137" s="315"/>
      <c r="F137" s="315"/>
      <c r="G137" s="315"/>
      <c r="H137" s="194"/>
      <c r="I137" s="218"/>
      <c r="J137" s="315"/>
      <c r="K137" s="194"/>
      <c r="L137" s="315"/>
      <c r="M137" s="191"/>
      <c r="N137" s="218"/>
      <c r="O137" s="315"/>
      <c r="P137" s="373"/>
    </row>
    <row r="138" spans="1:18" x14ac:dyDescent="0.2">
      <c r="A138" s="333"/>
      <c r="B138" s="145" t="s">
        <v>174</v>
      </c>
      <c r="C138" t="s">
        <v>20</v>
      </c>
      <c r="D138" s="315"/>
      <c r="E138" s="315"/>
      <c r="F138" s="315"/>
      <c r="G138" s="315"/>
      <c r="H138" s="194"/>
      <c r="I138" s="218"/>
      <c r="J138" s="315"/>
      <c r="K138" s="194"/>
      <c r="L138" s="315"/>
      <c r="M138" s="191"/>
      <c r="N138" s="218"/>
      <c r="O138" s="315"/>
      <c r="P138" s="373"/>
    </row>
    <row r="139" spans="1:18" x14ac:dyDescent="0.2">
      <c r="A139" s="333"/>
      <c r="B139" s="145" t="s">
        <v>175</v>
      </c>
      <c r="C139" t="s">
        <v>20</v>
      </c>
      <c r="D139" s="315"/>
      <c r="E139" s="315"/>
      <c r="F139" s="315"/>
      <c r="G139" s="315"/>
      <c r="H139" s="194"/>
      <c r="I139" s="218"/>
      <c r="J139" s="315"/>
      <c r="K139" s="194"/>
      <c r="L139" s="315"/>
      <c r="M139" s="191"/>
      <c r="N139" s="218"/>
      <c r="O139" s="315"/>
      <c r="P139" s="373"/>
    </row>
    <row r="140" spans="1:18" x14ac:dyDescent="0.2">
      <c r="A140" s="333"/>
      <c r="B140" s="145" t="s">
        <v>176</v>
      </c>
      <c r="C140" s="143"/>
      <c r="D140" s="315"/>
      <c r="E140" s="315"/>
      <c r="F140" s="315"/>
      <c r="G140" s="315"/>
      <c r="H140" s="194"/>
      <c r="I140" s="218"/>
      <c r="J140" s="315"/>
      <c r="K140" s="194"/>
      <c r="L140" s="315"/>
      <c r="M140" s="191"/>
      <c r="N140" s="218"/>
      <c r="O140" s="315"/>
      <c r="P140" s="373"/>
    </row>
    <row r="141" spans="1:18" x14ac:dyDescent="0.2">
      <c r="A141" s="333"/>
      <c r="B141" s="145" t="s">
        <v>177</v>
      </c>
      <c r="C141" t="s">
        <v>20</v>
      </c>
      <c r="D141" s="315"/>
      <c r="E141" s="315"/>
      <c r="F141" s="315"/>
      <c r="G141" s="315"/>
      <c r="H141" s="194"/>
      <c r="I141" s="218"/>
      <c r="J141" s="315"/>
      <c r="K141" s="194"/>
      <c r="L141" s="315"/>
      <c r="M141" s="191"/>
      <c r="N141" s="218"/>
      <c r="O141" s="315"/>
      <c r="P141" s="373"/>
    </row>
    <row r="142" spans="1:18" x14ac:dyDescent="0.2">
      <c r="A142" s="333"/>
      <c r="B142" s="145" t="s">
        <v>178</v>
      </c>
      <c r="C142" t="s">
        <v>20</v>
      </c>
      <c r="D142" s="315"/>
      <c r="E142" s="315"/>
      <c r="F142" s="315"/>
      <c r="G142" s="315"/>
      <c r="H142" s="194"/>
      <c r="I142" s="218"/>
      <c r="J142" s="315"/>
      <c r="K142" s="194"/>
      <c r="L142" s="315"/>
      <c r="M142" s="191"/>
      <c r="N142" s="218"/>
      <c r="O142" s="315"/>
      <c r="P142" s="373"/>
    </row>
    <row r="143" spans="1:18" x14ac:dyDescent="0.2">
      <c r="A143" s="333"/>
      <c r="B143" s="155" t="s">
        <v>179</v>
      </c>
      <c r="C143" t="s">
        <v>20</v>
      </c>
      <c r="D143" s="315"/>
      <c r="E143" s="315"/>
      <c r="F143" s="315"/>
      <c r="G143" s="315"/>
      <c r="H143" s="194"/>
      <c r="I143" s="218"/>
      <c r="J143" s="315"/>
      <c r="K143" s="194"/>
      <c r="L143" s="315"/>
      <c r="M143" s="191"/>
      <c r="N143" s="218"/>
      <c r="O143" s="315"/>
      <c r="P143" s="373"/>
    </row>
    <row r="144" spans="1:18" x14ac:dyDescent="0.2">
      <c r="A144" s="333"/>
      <c r="B144" s="157" t="s">
        <v>180</v>
      </c>
      <c r="C144" t="s">
        <v>20</v>
      </c>
      <c r="D144" s="315"/>
      <c r="E144" s="315"/>
      <c r="F144" s="315"/>
      <c r="G144" s="315"/>
      <c r="H144" s="194"/>
      <c r="I144" s="218"/>
      <c r="J144" s="315"/>
      <c r="K144" s="194"/>
      <c r="L144" s="315"/>
      <c r="M144" s="191"/>
      <c r="N144" s="218"/>
      <c r="O144" s="315"/>
      <c r="P144" s="373"/>
    </row>
    <row r="145" spans="1:16" x14ac:dyDescent="0.2">
      <c r="A145" s="333"/>
      <c r="B145" s="157" t="s">
        <v>181</v>
      </c>
      <c r="C145" s="154"/>
      <c r="D145" s="315"/>
      <c r="E145" s="315"/>
      <c r="F145" s="315"/>
      <c r="G145" s="315"/>
      <c r="H145" s="194"/>
      <c r="I145" s="218"/>
      <c r="J145" s="315"/>
      <c r="K145" s="194"/>
      <c r="L145" s="315"/>
      <c r="M145" s="191"/>
      <c r="N145" s="218"/>
      <c r="O145" s="315"/>
      <c r="P145" s="373"/>
    </row>
    <row r="146" spans="1:16" x14ac:dyDescent="0.2">
      <c r="A146" s="333"/>
      <c r="B146" s="157" t="s">
        <v>182</v>
      </c>
      <c r="C146" t="s">
        <v>20</v>
      </c>
      <c r="D146" s="315"/>
      <c r="E146" s="315"/>
      <c r="F146" s="315"/>
      <c r="G146" s="315"/>
      <c r="H146" s="194"/>
      <c r="I146" s="218"/>
      <c r="J146" s="315"/>
      <c r="K146" s="194"/>
      <c r="L146" s="315"/>
      <c r="M146" s="191"/>
      <c r="N146" s="218"/>
      <c r="O146" s="315"/>
      <c r="P146" s="373"/>
    </row>
    <row r="147" spans="1:16" x14ac:dyDescent="0.2">
      <c r="A147" s="333"/>
      <c r="B147" s="157" t="s">
        <v>183</v>
      </c>
      <c r="C147" t="s">
        <v>20</v>
      </c>
      <c r="D147" s="315"/>
      <c r="E147" s="315"/>
      <c r="F147" s="315"/>
      <c r="G147" s="315"/>
      <c r="H147" s="194"/>
      <c r="I147" s="218"/>
      <c r="J147" s="315"/>
      <c r="K147" s="194"/>
      <c r="L147" s="315"/>
      <c r="M147" s="191"/>
      <c r="N147" s="218"/>
      <c r="O147" s="315"/>
      <c r="P147" s="373"/>
    </row>
    <row r="148" spans="1:16" x14ac:dyDescent="0.2">
      <c r="A148" s="333"/>
      <c r="B148" s="157" t="s">
        <v>184</v>
      </c>
      <c r="C148" t="s">
        <v>20</v>
      </c>
      <c r="D148" s="315"/>
      <c r="E148" s="315"/>
      <c r="F148" s="315"/>
      <c r="G148" s="315"/>
      <c r="H148" s="194"/>
      <c r="I148" s="218"/>
      <c r="J148" s="315"/>
      <c r="K148" s="194"/>
      <c r="L148" s="315"/>
      <c r="M148" s="191"/>
      <c r="N148" s="218"/>
      <c r="O148" s="315"/>
      <c r="P148" s="373"/>
    </row>
    <row r="149" spans="1:16" x14ac:dyDescent="0.2">
      <c r="A149" s="333"/>
      <c r="B149" s="157" t="s">
        <v>185</v>
      </c>
      <c r="C149" t="s">
        <v>20</v>
      </c>
      <c r="D149" s="315"/>
      <c r="E149" s="315"/>
      <c r="F149" s="315"/>
      <c r="G149" s="315"/>
      <c r="H149" s="194"/>
      <c r="I149" s="218"/>
      <c r="J149" s="315"/>
      <c r="K149" s="194"/>
      <c r="L149" s="315"/>
      <c r="M149" s="191"/>
      <c r="N149" s="218"/>
      <c r="O149" s="315"/>
      <c r="P149" s="373"/>
    </row>
    <row r="150" spans="1:16" x14ac:dyDescent="0.2">
      <c r="A150" s="333"/>
      <c r="B150" s="157" t="s">
        <v>186</v>
      </c>
      <c r="C150" t="s">
        <v>20</v>
      </c>
      <c r="D150" s="315"/>
      <c r="E150" s="315"/>
      <c r="F150" s="315"/>
      <c r="G150" s="315"/>
      <c r="H150" s="194"/>
      <c r="I150" s="218"/>
      <c r="J150" s="315"/>
      <c r="K150" s="194"/>
      <c r="L150" s="315"/>
      <c r="M150" s="191"/>
      <c r="N150" s="218"/>
      <c r="O150" s="315"/>
      <c r="P150" s="373"/>
    </row>
    <row r="151" spans="1:16" x14ac:dyDescent="0.2">
      <c r="A151" s="333"/>
      <c r="B151" s="157" t="s">
        <v>187</v>
      </c>
      <c r="C151" t="s">
        <v>20</v>
      </c>
      <c r="D151" s="315"/>
      <c r="E151" s="315"/>
      <c r="F151" s="315"/>
      <c r="G151" s="315"/>
      <c r="H151" s="194"/>
      <c r="I151" s="218"/>
      <c r="J151" s="315"/>
      <c r="K151" s="194"/>
      <c r="L151" s="315"/>
      <c r="M151" s="191"/>
      <c r="N151" s="218"/>
      <c r="O151" s="315"/>
      <c r="P151" s="373"/>
    </row>
    <row r="152" spans="1:16" x14ac:dyDescent="0.2">
      <c r="A152" s="333"/>
      <c r="B152" s="157" t="s">
        <v>188</v>
      </c>
      <c r="C152" t="s">
        <v>20</v>
      </c>
      <c r="D152" s="315"/>
      <c r="E152" s="315"/>
      <c r="F152" s="315"/>
      <c r="G152" s="315"/>
      <c r="H152" s="194"/>
      <c r="I152" s="218"/>
      <c r="J152" s="315"/>
      <c r="K152" s="194"/>
      <c r="L152" s="315"/>
      <c r="M152" s="191"/>
      <c r="N152" s="218"/>
      <c r="O152" s="315"/>
      <c r="P152" s="373"/>
    </row>
    <row r="153" spans="1:16" x14ac:dyDescent="0.2">
      <c r="A153" s="333"/>
      <c r="B153" s="157" t="s">
        <v>189</v>
      </c>
      <c r="C153" t="s">
        <v>20</v>
      </c>
      <c r="D153" s="315"/>
      <c r="E153" s="315"/>
      <c r="F153" s="315"/>
      <c r="G153" s="315"/>
      <c r="H153" s="194"/>
      <c r="I153" s="218"/>
      <c r="J153" s="315"/>
      <c r="K153" s="194"/>
      <c r="L153" s="315"/>
      <c r="M153" s="191"/>
      <c r="N153" s="218"/>
      <c r="O153" s="315"/>
      <c r="P153" s="373"/>
    </row>
    <row r="154" spans="1:16" x14ac:dyDescent="0.2">
      <c r="A154" s="333"/>
      <c r="B154" s="157" t="s">
        <v>190</v>
      </c>
      <c r="C154" t="s">
        <v>20</v>
      </c>
      <c r="D154" s="315"/>
      <c r="E154" s="315"/>
      <c r="F154" s="315"/>
      <c r="G154" s="315"/>
      <c r="H154" s="194"/>
      <c r="I154" s="218"/>
      <c r="J154" s="315"/>
      <c r="K154" s="194"/>
      <c r="L154" s="315"/>
      <c r="M154" s="191"/>
      <c r="N154" s="218"/>
      <c r="O154" s="315"/>
      <c r="P154" s="373"/>
    </row>
    <row r="155" spans="1:16" x14ac:dyDescent="0.2">
      <c r="A155" s="333"/>
      <c r="B155" s="157" t="s">
        <v>191</v>
      </c>
      <c r="C155" t="s">
        <v>20</v>
      </c>
      <c r="D155" s="315"/>
      <c r="E155" s="315"/>
      <c r="F155" s="315"/>
      <c r="G155" s="315"/>
      <c r="H155" s="194"/>
      <c r="I155" s="218"/>
      <c r="J155" s="315"/>
      <c r="K155" s="194"/>
      <c r="L155" s="315"/>
      <c r="M155" s="191"/>
      <c r="N155" s="218"/>
      <c r="O155" s="315"/>
      <c r="P155" s="373"/>
    </row>
    <row r="156" spans="1:16" x14ac:dyDescent="0.2">
      <c r="A156" s="333"/>
      <c r="B156" s="157" t="s">
        <v>192</v>
      </c>
      <c r="C156" t="s">
        <v>20</v>
      </c>
      <c r="D156" s="315"/>
      <c r="E156" s="315"/>
      <c r="F156" s="315"/>
      <c r="G156" s="315"/>
      <c r="H156" s="194"/>
      <c r="I156" s="218"/>
      <c r="J156" s="315"/>
      <c r="K156" s="194"/>
      <c r="L156" s="315"/>
      <c r="M156" s="191"/>
      <c r="N156" s="218"/>
      <c r="O156" s="315"/>
      <c r="P156" s="373"/>
    </row>
    <row r="157" spans="1:16" x14ac:dyDescent="0.2">
      <c r="A157" s="333"/>
      <c r="B157" s="157" t="s">
        <v>193</v>
      </c>
      <c r="C157" t="s">
        <v>20</v>
      </c>
      <c r="D157" s="315"/>
      <c r="E157" s="315"/>
      <c r="F157" s="315"/>
      <c r="G157" s="315"/>
      <c r="H157" s="194"/>
      <c r="I157" s="218"/>
      <c r="J157" s="315"/>
      <c r="K157" s="194"/>
      <c r="L157" s="315"/>
      <c r="M157" s="191"/>
      <c r="N157" s="218"/>
      <c r="O157" s="315"/>
      <c r="P157" s="373"/>
    </row>
    <row r="158" spans="1:16" x14ac:dyDescent="0.2">
      <c r="A158" s="333"/>
      <c r="B158" s="157" t="s">
        <v>194</v>
      </c>
      <c r="C158" t="s">
        <v>20</v>
      </c>
      <c r="D158" s="315"/>
      <c r="E158" s="315"/>
      <c r="F158" s="315"/>
      <c r="G158" s="315"/>
      <c r="H158" s="194"/>
      <c r="I158" s="218"/>
      <c r="J158" s="315"/>
      <c r="K158" s="194"/>
      <c r="L158" s="315"/>
      <c r="M158" s="191"/>
      <c r="N158" s="218"/>
      <c r="O158" s="315"/>
      <c r="P158" s="373"/>
    </row>
    <row r="159" spans="1:16" x14ac:dyDescent="0.2">
      <c r="A159" s="333"/>
      <c r="B159" s="157" t="s">
        <v>195</v>
      </c>
      <c r="C159" t="s">
        <v>20</v>
      </c>
      <c r="D159" s="315"/>
      <c r="E159" s="315"/>
      <c r="F159" s="315"/>
      <c r="G159" s="315"/>
      <c r="H159" s="194"/>
      <c r="I159" s="218"/>
      <c r="J159" s="315"/>
      <c r="K159" s="194"/>
      <c r="L159" s="315"/>
      <c r="M159" s="191"/>
      <c r="N159" s="218"/>
      <c r="O159" s="315"/>
      <c r="P159" s="373"/>
    </row>
    <row r="160" spans="1:16" x14ac:dyDescent="0.2">
      <c r="A160" s="333"/>
      <c r="B160" s="157" t="s">
        <v>196</v>
      </c>
      <c r="C160" t="s">
        <v>20</v>
      </c>
      <c r="D160" s="315"/>
      <c r="E160" s="315"/>
      <c r="F160" s="315"/>
      <c r="G160" s="315"/>
      <c r="H160" s="194"/>
      <c r="I160" s="218"/>
      <c r="J160" s="315"/>
      <c r="K160" s="194"/>
      <c r="L160" s="315"/>
      <c r="M160" s="191"/>
      <c r="N160" s="218"/>
      <c r="O160" s="315"/>
      <c r="P160" s="373"/>
    </row>
    <row r="161" spans="1:16" x14ac:dyDescent="0.2">
      <c r="A161" s="333"/>
      <c r="B161" s="157" t="s">
        <v>197</v>
      </c>
      <c r="C161" t="s">
        <v>20</v>
      </c>
      <c r="D161" s="315"/>
      <c r="E161" s="315"/>
      <c r="F161" s="315"/>
      <c r="G161" s="315"/>
      <c r="H161" s="194"/>
      <c r="I161" s="218"/>
      <c r="J161" s="315"/>
      <c r="K161" s="194"/>
      <c r="L161" s="315"/>
      <c r="M161" s="191"/>
      <c r="N161" s="218"/>
      <c r="O161" s="315"/>
      <c r="P161" s="373"/>
    </row>
    <row r="162" spans="1:16" x14ac:dyDescent="0.2">
      <c r="A162" s="333"/>
      <c r="B162" s="157" t="s">
        <v>198</v>
      </c>
      <c r="C162" t="s">
        <v>20</v>
      </c>
      <c r="D162" s="315"/>
      <c r="E162" s="315"/>
      <c r="F162" s="315"/>
      <c r="G162" s="315"/>
      <c r="H162" s="194"/>
      <c r="I162" s="218"/>
      <c r="J162" s="315"/>
      <c r="K162" s="194"/>
      <c r="L162" s="315"/>
      <c r="M162" s="191"/>
      <c r="N162" s="218"/>
      <c r="O162" s="315"/>
      <c r="P162" s="373"/>
    </row>
    <row r="163" spans="1:16" x14ac:dyDescent="0.2">
      <c r="A163" s="333"/>
      <c r="B163" s="157" t="s">
        <v>199</v>
      </c>
      <c r="C163" t="s">
        <v>20</v>
      </c>
      <c r="D163" s="315"/>
      <c r="E163" s="315"/>
      <c r="F163" s="315"/>
      <c r="G163" s="315"/>
      <c r="H163" s="194"/>
      <c r="I163" s="218"/>
      <c r="J163" s="315"/>
      <c r="K163" s="194"/>
      <c r="L163" s="315"/>
      <c r="M163" s="191"/>
      <c r="N163" s="218"/>
      <c r="O163" s="315"/>
      <c r="P163" s="373"/>
    </row>
    <row r="164" spans="1:16" x14ac:dyDescent="0.2">
      <c r="A164" s="333"/>
      <c r="B164" s="157" t="s">
        <v>200</v>
      </c>
      <c r="C164" t="s">
        <v>20</v>
      </c>
      <c r="D164" s="315"/>
      <c r="E164" s="315"/>
      <c r="F164" s="315"/>
      <c r="G164" s="315"/>
      <c r="H164" s="194"/>
      <c r="I164" s="218"/>
      <c r="J164" s="315"/>
      <c r="K164" s="194"/>
      <c r="L164" s="315"/>
      <c r="M164" s="191"/>
      <c r="N164" s="218"/>
      <c r="O164" s="315"/>
      <c r="P164" s="373"/>
    </row>
    <row r="165" spans="1:16" x14ac:dyDescent="0.2">
      <c r="A165" s="333"/>
      <c r="B165" s="157" t="s">
        <v>201</v>
      </c>
      <c r="C165" t="s">
        <v>20</v>
      </c>
      <c r="D165" s="315"/>
      <c r="E165" s="315"/>
      <c r="F165" s="315"/>
      <c r="G165" s="315"/>
      <c r="H165" s="194"/>
      <c r="I165" s="218"/>
      <c r="J165" s="315"/>
      <c r="K165" s="194"/>
      <c r="L165" s="315"/>
      <c r="M165" s="191"/>
      <c r="N165" s="218"/>
      <c r="O165" s="315"/>
      <c r="P165" s="373"/>
    </row>
    <row r="166" spans="1:16" x14ac:dyDescent="0.2">
      <c r="A166" s="333"/>
      <c r="B166" s="157" t="s">
        <v>202</v>
      </c>
      <c r="C166" t="s">
        <v>20</v>
      </c>
      <c r="D166" s="315"/>
      <c r="E166" s="315"/>
      <c r="F166" s="315"/>
      <c r="G166" s="315"/>
      <c r="H166" s="194"/>
      <c r="I166" s="218"/>
      <c r="J166" s="315"/>
      <c r="K166" s="194"/>
      <c r="L166" s="315"/>
      <c r="M166" s="191"/>
      <c r="N166" s="218"/>
      <c r="O166" s="315"/>
      <c r="P166" s="373"/>
    </row>
    <row r="167" spans="1:16" x14ac:dyDescent="0.2">
      <c r="A167" s="333"/>
      <c r="B167" s="157" t="s">
        <v>203</v>
      </c>
      <c r="C167" t="s">
        <v>20</v>
      </c>
      <c r="D167" s="315"/>
      <c r="E167" s="315"/>
      <c r="F167" s="315"/>
      <c r="G167" s="315"/>
      <c r="H167" s="194"/>
      <c r="I167" s="218"/>
      <c r="J167" s="315"/>
      <c r="K167" s="194"/>
      <c r="L167" s="315"/>
      <c r="M167" s="191"/>
      <c r="N167" s="218"/>
      <c r="O167" s="315"/>
      <c r="P167" s="373"/>
    </row>
    <row r="168" spans="1:16" x14ac:dyDescent="0.2">
      <c r="A168" s="333"/>
      <c r="B168" s="157" t="s">
        <v>204</v>
      </c>
      <c r="C168" t="s">
        <v>20</v>
      </c>
      <c r="D168" s="315"/>
      <c r="E168" s="315"/>
      <c r="F168" s="315"/>
      <c r="G168" s="315"/>
      <c r="H168" s="194"/>
      <c r="I168" s="218"/>
      <c r="J168" s="315"/>
      <c r="K168" s="194"/>
      <c r="L168" s="315"/>
      <c r="M168" s="191"/>
      <c r="N168" s="218"/>
      <c r="O168" s="315"/>
      <c r="P168" s="373"/>
    </row>
    <row r="169" spans="1:16" s="63" customFormat="1" x14ac:dyDescent="0.2">
      <c r="A169" s="334"/>
      <c r="B169" s="158" t="s">
        <v>205</v>
      </c>
      <c r="C169" t="s">
        <v>20</v>
      </c>
      <c r="D169" s="315"/>
      <c r="E169" s="315"/>
      <c r="F169" s="315"/>
      <c r="G169" s="315"/>
      <c r="H169" s="194"/>
      <c r="I169" s="218"/>
      <c r="J169" s="315"/>
      <c r="K169" s="194"/>
      <c r="L169" s="315"/>
      <c r="M169" s="191"/>
      <c r="N169" s="218"/>
      <c r="O169" s="315"/>
      <c r="P169" s="373"/>
    </row>
    <row r="170" spans="1:16" ht="15.75" x14ac:dyDescent="0.25">
      <c r="B170" s="2" t="s">
        <v>33</v>
      </c>
      <c r="D170" s="163">
        <f>SUM(D94:D169)</f>
        <v>0</v>
      </c>
      <c r="E170" s="129">
        <f>SUM(E94:E169)</f>
        <v>0</v>
      </c>
      <c r="F170" s="62">
        <f>SUM(F94:F169)</f>
        <v>0</v>
      </c>
      <c r="G170" s="162">
        <f>SUM(G94:G143)</f>
        <v>0</v>
      </c>
      <c r="H170" s="129">
        <f>SUM(H94:H169)</f>
        <v>0</v>
      </c>
      <c r="I170" s="66"/>
      <c r="J170" s="129">
        <f>SUM(J94:J169)</f>
        <v>0</v>
      </c>
      <c r="K170" s="129">
        <f>SUM(K94:K169)</f>
        <v>0</v>
      </c>
      <c r="L170" s="129">
        <f>SUM(L94:L169)</f>
        <v>0</v>
      </c>
      <c r="M170" s="129">
        <f>SUM(M94:M169)</f>
        <v>0</v>
      </c>
      <c r="N170" s="161"/>
      <c r="O170" s="62">
        <f>SUM(O94:O169)</f>
        <v>0</v>
      </c>
      <c r="P170" s="63"/>
    </row>
    <row r="171" spans="1:16" x14ac:dyDescent="0.2">
      <c r="C171" t="s">
        <v>20</v>
      </c>
      <c r="D171" s="68"/>
      <c r="E171" s="68"/>
      <c r="F171" s="68"/>
      <c r="G171" s="70"/>
      <c r="H171" s="68"/>
      <c r="I171" s="63"/>
      <c r="J171" s="68"/>
      <c r="K171" s="63"/>
      <c r="L171" s="68"/>
      <c r="M171" s="68"/>
      <c r="N171" s="63"/>
      <c r="O171" s="68"/>
      <c r="P171" s="63"/>
    </row>
    <row r="172" spans="1:16" x14ac:dyDescent="0.2">
      <c r="C172" t="s">
        <v>20</v>
      </c>
      <c r="D172" s="70"/>
      <c r="E172" s="70"/>
      <c r="F172" s="70"/>
      <c r="G172" s="24"/>
      <c r="H172" s="70"/>
      <c r="I172" s="63"/>
      <c r="L172" s="70"/>
      <c r="N172" s="63"/>
      <c r="O172" s="70"/>
      <c r="P172" s="63"/>
    </row>
    <row r="173" spans="1:16" ht="15.75" x14ac:dyDescent="0.25">
      <c r="B173" s="2" t="s">
        <v>54</v>
      </c>
      <c r="D173" s="57">
        <f>SUM(D91,D170)</f>
        <v>0</v>
      </c>
      <c r="E173" s="57">
        <f>SUM(E91,E170)</f>
        <v>0</v>
      </c>
      <c r="F173" s="57">
        <f>SUM(F91,F170)</f>
        <v>0</v>
      </c>
      <c r="G173" s="57">
        <f>SUM(G91,G170)</f>
        <v>0</v>
      </c>
      <c r="H173" s="26">
        <f>SUM(H91,H170)</f>
        <v>0</v>
      </c>
      <c r="I173" s="30"/>
      <c r="J173" s="57">
        <f>SUM(J91,J170)</f>
        <v>0</v>
      </c>
      <c r="K173" s="57">
        <f>SUM(K91,K170)</f>
        <v>0</v>
      </c>
      <c r="L173" s="57">
        <f>SUM(L91,L170)</f>
        <v>0</v>
      </c>
      <c r="M173" s="26">
        <f>SUM(M91,M170)</f>
        <v>0</v>
      </c>
      <c r="N173" s="30"/>
      <c r="O173" s="26">
        <f>SUM(O91,O170)</f>
        <v>0</v>
      </c>
    </row>
    <row r="174" spans="1:16" x14ac:dyDescent="0.2">
      <c r="B174" s="25"/>
      <c r="C174" t="s">
        <v>20</v>
      </c>
      <c r="D174" s="25"/>
      <c r="E174" s="18"/>
      <c r="O174" s="63"/>
    </row>
    <row r="175" spans="1:16" x14ac:dyDescent="0.2">
      <c r="B175" s="25"/>
      <c r="C175" t="s">
        <v>20</v>
      </c>
      <c r="D175" s="25"/>
      <c r="E175" s="18"/>
      <c r="O175" s="63"/>
    </row>
    <row r="176" spans="1:16" x14ac:dyDescent="0.2">
      <c r="B176" s="25"/>
      <c r="C176" t="s">
        <v>20</v>
      </c>
      <c r="D176" s="25"/>
      <c r="E176" s="18"/>
      <c r="O176" s="63"/>
    </row>
    <row r="177" spans="2:15" x14ac:dyDescent="0.2">
      <c r="B177" s="17"/>
      <c r="C177" t="s">
        <v>20</v>
      </c>
      <c r="D177" s="25"/>
      <c r="E177" s="18"/>
      <c r="O177" s="63"/>
    </row>
    <row r="178" spans="2:15" x14ac:dyDescent="0.2">
      <c r="C178" t="s">
        <v>20</v>
      </c>
    </row>
    <row r="179" spans="2:15" x14ac:dyDescent="0.2">
      <c r="C179" t="s">
        <v>20</v>
      </c>
    </row>
    <row r="180" spans="2:15" x14ac:dyDescent="0.2">
      <c r="C180" t="s">
        <v>20</v>
      </c>
    </row>
    <row r="181" spans="2:15" x14ac:dyDescent="0.2">
      <c r="C181" t="s">
        <v>20</v>
      </c>
    </row>
    <row r="182" spans="2:15" x14ac:dyDescent="0.2">
      <c r="C182" t="s">
        <v>20</v>
      </c>
    </row>
    <row r="183" spans="2:15" x14ac:dyDescent="0.2">
      <c r="C183" t="s">
        <v>20</v>
      </c>
    </row>
    <row r="184" spans="2:15" x14ac:dyDescent="0.2">
      <c r="C184" t="s">
        <v>20</v>
      </c>
    </row>
    <row r="185" spans="2:15" x14ac:dyDescent="0.2">
      <c r="C185" t="s">
        <v>20</v>
      </c>
    </row>
    <row r="186" spans="2:15" x14ac:dyDescent="0.2">
      <c r="C186" t="s">
        <v>20</v>
      </c>
    </row>
    <row r="187" spans="2:15" x14ac:dyDescent="0.2">
      <c r="C187" t="s">
        <v>20</v>
      </c>
    </row>
    <row r="188" spans="2:15" x14ac:dyDescent="0.2">
      <c r="C188" t="s">
        <v>20</v>
      </c>
    </row>
    <row r="189" spans="2:15" x14ac:dyDescent="0.2">
      <c r="C189" t="s">
        <v>20</v>
      </c>
    </row>
    <row r="190" spans="2:15" x14ac:dyDescent="0.2">
      <c r="C190" t="s">
        <v>20</v>
      </c>
    </row>
    <row r="191" spans="2:15" x14ac:dyDescent="0.2">
      <c r="C191" t="s">
        <v>20</v>
      </c>
    </row>
    <row r="192" spans="2:15" x14ac:dyDescent="0.2">
      <c r="C192" t="s">
        <v>20</v>
      </c>
    </row>
    <row r="193" spans="3:3" x14ac:dyDescent="0.2">
      <c r="C193" t="s">
        <v>20</v>
      </c>
    </row>
    <row r="194" spans="3:3" x14ac:dyDescent="0.2">
      <c r="C194" t="s">
        <v>20</v>
      </c>
    </row>
    <row r="195" spans="3:3" x14ac:dyDescent="0.2">
      <c r="C195" t="s">
        <v>20</v>
      </c>
    </row>
    <row r="196" spans="3:3" x14ac:dyDescent="0.2">
      <c r="C196" t="s">
        <v>20</v>
      </c>
    </row>
    <row r="197" spans="3:3" x14ac:dyDescent="0.2">
      <c r="C197" t="s">
        <v>20</v>
      </c>
    </row>
    <row r="198" spans="3:3" x14ac:dyDescent="0.2">
      <c r="C198" t="s">
        <v>20</v>
      </c>
    </row>
    <row r="199" spans="3:3" x14ac:dyDescent="0.2">
      <c r="C199" t="s">
        <v>20</v>
      </c>
    </row>
    <row r="200" spans="3:3" x14ac:dyDescent="0.2">
      <c r="C200" t="s">
        <v>20</v>
      </c>
    </row>
    <row r="201" spans="3:3" x14ac:dyDescent="0.2">
      <c r="C201" t="s">
        <v>20</v>
      </c>
    </row>
  </sheetData>
  <mergeCells count="7">
    <mergeCell ref="A3:A4"/>
    <mergeCell ref="B1:P2"/>
    <mergeCell ref="B3:B4"/>
    <mergeCell ref="E3:I3"/>
    <mergeCell ref="J3:N3"/>
    <mergeCell ref="O3:O4"/>
    <mergeCell ref="P3:P4"/>
  </mergeCells>
  <conditionalFormatting sqref="K91:N91 E5:E90 E92:E169 J5:J169 N5:N169">
    <cfRule type="cellIs" dxfId="8" priority="1" stopIfTrue="1" operator="greaterThan">
      <formula>0</formula>
    </cfRule>
  </conditionalFormatting>
  <printOptions horizontalCentered="1" verticalCentered="1"/>
  <pageMargins left="0.17986111111111111" right="0.17986111111111111" top="0.98402777777777772" bottom="0.98402777777777772" header="0.51180555555555551" footer="0.51180555555555551"/>
  <pageSetup paperSize="9" scale="53" firstPageNumber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E757B-C30D-4F72-B4C8-02313C73786D}">
  <sheetPr codeName="Feuil3">
    <pageSetUpPr fitToPage="1"/>
  </sheetPr>
  <dimension ref="A1:P30"/>
  <sheetViews>
    <sheetView zoomScale="85" zoomScaleNormal="100" workbookViewId="0">
      <selection activeCell="A3" sqref="A3:A4"/>
    </sheetView>
  </sheetViews>
  <sheetFormatPr defaultRowHeight="12.95" customHeight="1" x14ac:dyDescent="0.2"/>
  <cols>
    <col min="1" max="1" width="21.7109375" style="317" customWidth="1"/>
    <col min="2" max="2" width="33.140625" bestFit="1" customWidth="1"/>
    <col min="3" max="3" width="17.85546875" bestFit="1" customWidth="1"/>
    <col min="4" max="4" width="9.140625" bestFit="1" customWidth="1"/>
    <col min="5" max="5" width="22.140625" bestFit="1" customWidth="1"/>
    <col min="6" max="7" width="0" hidden="1" bestFit="1" customWidth="1"/>
    <col min="8" max="8" width="21.7109375" bestFit="1" customWidth="1"/>
    <col min="9" max="9" width="12.28515625" bestFit="1" customWidth="1"/>
    <col min="10" max="10" width="0" hidden="1" bestFit="1" customWidth="1"/>
    <col min="11" max="11" width="17" bestFit="1" customWidth="1"/>
    <col min="12" max="12" width="13.28515625" bestFit="1" customWidth="1"/>
    <col min="13" max="13" width="0" hidden="1" bestFit="1" customWidth="1"/>
    <col min="14" max="14" width="21.7109375" bestFit="1" customWidth="1"/>
    <col min="15" max="15" width="17" bestFit="1" customWidth="1"/>
    <col min="16" max="16" width="24.140625" bestFit="1" customWidth="1"/>
    <col min="17" max="257" width="9.140625" bestFit="1" customWidth="1"/>
  </cols>
  <sheetData>
    <row r="1" spans="1:16" ht="12.95" customHeight="1" x14ac:dyDescent="0.2">
      <c r="B1" s="339" t="s">
        <v>459</v>
      </c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</row>
    <row r="2" spans="1:16" ht="12.95" customHeight="1" x14ac:dyDescent="0.2">
      <c r="B2" s="340"/>
      <c r="C2" s="340"/>
      <c r="D2" s="340"/>
      <c r="E2" s="340"/>
      <c r="F2" s="340"/>
      <c r="G2" s="340"/>
      <c r="H2" s="340"/>
      <c r="I2" s="340"/>
      <c r="J2" s="340"/>
      <c r="K2" s="340"/>
      <c r="L2" s="340"/>
      <c r="M2" s="340"/>
      <c r="N2" s="340"/>
      <c r="O2" s="340"/>
      <c r="P2" s="340"/>
    </row>
    <row r="3" spans="1:16" ht="20.100000000000001" customHeight="1" x14ac:dyDescent="0.2">
      <c r="A3" s="379" t="s">
        <v>455</v>
      </c>
      <c r="B3" s="382" t="s">
        <v>458</v>
      </c>
      <c r="C3" s="318" t="s">
        <v>206</v>
      </c>
      <c r="D3" s="359" t="s">
        <v>207</v>
      </c>
      <c r="E3" s="359"/>
      <c r="F3" s="359"/>
      <c r="G3" s="359"/>
      <c r="H3" s="359"/>
      <c r="I3" s="359" t="s">
        <v>58</v>
      </c>
      <c r="J3" s="359"/>
      <c r="K3" s="359"/>
      <c r="L3" s="359"/>
      <c r="M3" s="359"/>
      <c r="N3" s="359"/>
      <c r="O3" s="383" t="s">
        <v>59</v>
      </c>
      <c r="P3" s="384" t="s">
        <v>60</v>
      </c>
    </row>
    <row r="4" spans="1:16" ht="20.25" customHeight="1" thickBot="1" x14ac:dyDescent="0.25">
      <c r="A4" s="380"/>
      <c r="B4" s="385"/>
      <c r="C4" s="46" t="s">
        <v>62</v>
      </c>
      <c r="D4" s="46" t="s">
        <v>16</v>
      </c>
      <c r="E4" s="46" t="s">
        <v>63</v>
      </c>
      <c r="F4" s="46" t="s">
        <v>64</v>
      </c>
      <c r="G4" s="46" t="s">
        <v>65</v>
      </c>
      <c r="H4" s="47" t="s">
        <v>14</v>
      </c>
      <c r="I4" s="46" t="s">
        <v>16</v>
      </c>
      <c r="J4" s="46" t="s">
        <v>66</v>
      </c>
      <c r="K4" s="46" t="s">
        <v>67</v>
      </c>
      <c r="L4" s="46" t="s">
        <v>208</v>
      </c>
      <c r="M4" s="64" t="s">
        <v>65</v>
      </c>
      <c r="N4" s="47" t="s">
        <v>14</v>
      </c>
      <c r="O4" s="346"/>
      <c r="P4" s="363"/>
    </row>
    <row r="5" spans="1:16" ht="12.95" customHeight="1" x14ac:dyDescent="0.2">
      <c r="A5" s="333"/>
      <c r="B5" s="314" t="s">
        <v>209</v>
      </c>
      <c r="C5" s="325"/>
      <c r="D5" s="325"/>
      <c r="E5" s="325"/>
      <c r="F5" s="225"/>
      <c r="G5" s="225"/>
      <c r="H5" s="228"/>
      <c r="I5" s="325"/>
      <c r="J5" s="225"/>
      <c r="K5" s="325"/>
      <c r="L5" s="326"/>
      <c r="M5" s="226"/>
      <c r="N5" s="230"/>
      <c r="O5" s="325"/>
      <c r="P5" s="386"/>
    </row>
    <row r="6" spans="1:16" ht="12.95" customHeight="1" x14ac:dyDescent="0.2">
      <c r="A6" s="333"/>
      <c r="B6" s="387" t="s">
        <v>210</v>
      </c>
      <c r="C6" s="324"/>
      <c r="D6" s="324"/>
      <c r="E6" s="324"/>
      <c r="F6" s="227"/>
      <c r="G6" s="227"/>
      <c r="H6" s="229"/>
      <c r="I6" s="324"/>
      <c r="J6" s="227"/>
      <c r="K6" s="324"/>
      <c r="L6" s="327"/>
      <c r="M6" s="226"/>
      <c r="N6" s="220"/>
      <c r="O6" s="324"/>
      <c r="P6" s="388"/>
    </row>
    <row r="7" spans="1:16" ht="12.95" customHeight="1" x14ac:dyDescent="0.2">
      <c r="A7" s="333"/>
      <c r="B7" s="387" t="s">
        <v>211</v>
      </c>
      <c r="C7" s="324"/>
      <c r="D7" s="324"/>
      <c r="E7" s="324"/>
      <c r="F7" s="227"/>
      <c r="G7" s="227"/>
      <c r="H7" s="229"/>
      <c r="I7" s="324"/>
      <c r="J7" s="227"/>
      <c r="K7" s="324"/>
      <c r="L7" s="327"/>
      <c r="M7" s="226"/>
      <c r="N7" s="220"/>
      <c r="O7" s="324"/>
      <c r="P7" s="388"/>
    </row>
    <row r="8" spans="1:16" ht="12.95" customHeight="1" x14ac:dyDescent="0.2">
      <c r="A8" s="333"/>
      <c r="B8" s="387" t="s">
        <v>212</v>
      </c>
      <c r="C8" s="324"/>
      <c r="D8" s="324"/>
      <c r="E8" s="324"/>
      <c r="F8" s="227"/>
      <c r="G8" s="227"/>
      <c r="H8" s="229"/>
      <c r="I8" s="324"/>
      <c r="J8" s="227"/>
      <c r="K8" s="324"/>
      <c r="L8" s="327"/>
      <c r="M8" s="226"/>
      <c r="N8" s="220"/>
      <c r="O8" s="324"/>
      <c r="P8" s="388"/>
    </row>
    <row r="9" spans="1:16" ht="12.95" customHeight="1" x14ac:dyDescent="0.2">
      <c r="A9" s="333"/>
      <c r="B9" s="387" t="s">
        <v>213</v>
      </c>
      <c r="C9" s="324"/>
      <c r="D9" s="324"/>
      <c r="E9" s="324"/>
      <c r="F9" s="227"/>
      <c r="G9" s="227"/>
      <c r="H9" s="229"/>
      <c r="I9" s="324"/>
      <c r="J9" s="227"/>
      <c r="K9" s="324"/>
      <c r="L9" s="327"/>
      <c r="M9" s="226"/>
      <c r="N9" s="220"/>
      <c r="O9" s="324"/>
      <c r="P9" s="388"/>
    </row>
    <row r="10" spans="1:16" ht="12.95" customHeight="1" x14ac:dyDescent="0.2">
      <c r="A10" s="333"/>
      <c r="B10" s="387" t="s">
        <v>214</v>
      </c>
      <c r="C10" s="324"/>
      <c r="D10" s="324"/>
      <c r="E10" s="324"/>
      <c r="F10" s="227"/>
      <c r="G10" s="227"/>
      <c r="H10" s="229"/>
      <c r="I10" s="324"/>
      <c r="J10" s="227"/>
      <c r="K10" s="324"/>
      <c r="L10" s="327"/>
      <c r="M10" s="226"/>
      <c r="N10" s="220"/>
      <c r="O10" s="324"/>
      <c r="P10" s="388"/>
    </row>
    <row r="11" spans="1:16" ht="12.95" customHeight="1" x14ac:dyDescent="0.2">
      <c r="A11" s="333"/>
      <c r="B11" s="387" t="s">
        <v>215</v>
      </c>
      <c r="C11" s="324"/>
      <c r="D11" s="324"/>
      <c r="E11" s="324"/>
      <c r="F11" s="227"/>
      <c r="G11" s="227"/>
      <c r="H11" s="229"/>
      <c r="I11" s="324"/>
      <c r="J11" s="227"/>
      <c r="K11" s="324"/>
      <c r="L11" s="327"/>
      <c r="M11" s="226"/>
      <c r="N11" s="220"/>
      <c r="O11" s="324"/>
      <c r="P11" s="388"/>
    </row>
    <row r="12" spans="1:16" ht="12.95" customHeight="1" x14ac:dyDescent="0.2">
      <c r="A12" s="333"/>
      <c r="B12" s="387" t="s">
        <v>216</v>
      </c>
      <c r="C12" s="324"/>
      <c r="D12" s="324"/>
      <c r="E12" s="324"/>
      <c r="F12" s="227"/>
      <c r="G12" s="227"/>
      <c r="H12" s="229"/>
      <c r="I12" s="324"/>
      <c r="J12" s="227"/>
      <c r="K12" s="324"/>
      <c r="L12" s="327"/>
      <c r="M12" s="226"/>
      <c r="N12" s="220"/>
      <c r="O12" s="324"/>
      <c r="P12" s="388"/>
    </row>
    <row r="13" spans="1:16" ht="12.95" customHeight="1" x14ac:dyDescent="0.2">
      <c r="A13" s="333"/>
      <c r="B13" s="387" t="s">
        <v>217</v>
      </c>
      <c r="C13" s="324"/>
      <c r="D13" s="324"/>
      <c r="E13" s="324"/>
      <c r="F13" s="227"/>
      <c r="G13" s="227"/>
      <c r="H13" s="229"/>
      <c r="I13" s="324"/>
      <c r="J13" s="227"/>
      <c r="K13" s="324"/>
      <c r="L13" s="327"/>
      <c r="M13" s="226"/>
      <c r="N13" s="220"/>
      <c r="O13" s="324"/>
      <c r="P13" s="388"/>
    </row>
    <row r="14" spans="1:16" ht="12.95" customHeight="1" x14ac:dyDescent="0.2">
      <c r="A14" s="333"/>
      <c r="B14" s="387" t="s">
        <v>218</v>
      </c>
      <c r="C14" s="324"/>
      <c r="D14" s="324"/>
      <c r="E14" s="324"/>
      <c r="F14" s="227"/>
      <c r="G14" s="227"/>
      <c r="H14" s="229"/>
      <c r="I14" s="324"/>
      <c r="J14" s="227"/>
      <c r="K14" s="324"/>
      <c r="L14" s="327"/>
      <c r="M14" s="226"/>
      <c r="N14" s="220"/>
      <c r="O14" s="324"/>
      <c r="P14" s="388"/>
    </row>
    <row r="15" spans="1:16" ht="12.95" customHeight="1" x14ac:dyDescent="0.2">
      <c r="A15" s="333"/>
      <c r="B15" s="387" t="s">
        <v>219</v>
      </c>
      <c r="C15" s="324"/>
      <c r="D15" s="324"/>
      <c r="E15" s="324"/>
      <c r="F15" s="227"/>
      <c r="G15" s="227"/>
      <c r="H15" s="229"/>
      <c r="I15" s="324"/>
      <c r="J15" s="227"/>
      <c r="K15" s="324"/>
      <c r="L15" s="327"/>
      <c r="M15" s="226"/>
      <c r="N15" s="220"/>
      <c r="O15" s="324"/>
      <c r="P15" s="388"/>
    </row>
    <row r="16" spans="1:16" ht="12.95" customHeight="1" x14ac:dyDescent="0.2">
      <c r="A16" s="333"/>
      <c r="B16" s="387" t="s">
        <v>220</v>
      </c>
      <c r="C16" s="324"/>
      <c r="D16" s="324"/>
      <c r="E16" s="324"/>
      <c r="F16" s="227"/>
      <c r="G16" s="227"/>
      <c r="H16" s="229"/>
      <c r="I16" s="324"/>
      <c r="J16" s="227"/>
      <c r="K16" s="324"/>
      <c r="L16" s="327"/>
      <c r="M16" s="226"/>
      <c r="N16" s="220"/>
      <c r="O16" s="324"/>
      <c r="P16" s="388"/>
    </row>
    <row r="17" spans="1:16" ht="12.95" customHeight="1" x14ac:dyDescent="0.2">
      <c r="A17" s="333"/>
      <c r="B17" s="387" t="s">
        <v>221</v>
      </c>
      <c r="C17" s="324"/>
      <c r="D17" s="324"/>
      <c r="E17" s="324"/>
      <c r="F17" s="227"/>
      <c r="G17" s="227"/>
      <c r="H17" s="229"/>
      <c r="I17" s="324"/>
      <c r="J17" s="227"/>
      <c r="K17" s="324"/>
      <c r="L17" s="327"/>
      <c r="M17" s="226"/>
      <c r="N17" s="220"/>
      <c r="O17" s="324"/>
      <c r="P17" s="388"/>
    </row>
    <row r="18" spans="1:16" ht="12.95" customHeight="1" x14ac:dyDescent="0.2">
      <c r="A18" s="333"/>
      <c r="B18" s="387" t="s">
        <v>222</v>
      </c>
      <c r="C18" s="324"/>
      <c r="D18" s="324"/>
      <c r="E18" s="324"/>
      <c r="F18" s="227"/>
      <c r="G18" s="227"/>
      <c r="H18" s="229"/>
      <c r="I18" s="324"/>
      <c r="J18" s="227"/>
      <c r="K18" s="324"/>
      <c r="L18" s="327"/>
      <c r="M18" s="226"/>
      <c r="N18" s="220"/>
      <c r="O18" s="324"/>
      <c r="P18" s="388"/>
    </row>
    <row r="19" spans="1:16" ht="12.95" customHeight="1" x14ac:dyDescent="0.2">
      <c r="A19" s="333"/>
      <c r="B19" s="387" t="s">
        <v>223</v>
      </c>
      <c r="C19" s="324"/>
      <c r="D19" s="324"/>
      <c r="E19" s="324"/>
      <c r="F19" s="227"/>
      <c r="G19" s="227"/>
      <c r="H19" s="229"/>
      <c r="I19" s="324"/>
      <c r="J19" s="227"/>
      <c r="K19" s="324"/>
      <c r="L19" s="327"/>
      <c r="M19" s="226"/>
      <c r="N19" s="220"/>
      <c r="O19" s="324"/>
      <c r="P19" s="388"/>
    </row>
    <row r="20" spans="1:16" ht="12.95" customHeight="1" x14ac:dyDescent="0.2">
      <c r="A20" s="333"/>
      <c r="B20" s="387" t="s">
        <v>224</v>
      </c>
      <c r="C20" s="324"/>
      <c r="D20" s="324"/>
      <c r="E20" s="324"/>
      <c r="F20" s="227"/>
      <c r="G20" s="227"/>
      <c r="H20" s="229"/>
      <c r="I20" s="324"/>
      <c r="J20" s="227"/>
      <c r="K20" s="324"/>
      <c r="L20" s="327"/>
      <c r="M20" s="226"/>
      <c r="N20" s="220"/>
      <c r="O20" s="324"/>
      <c r="P20" s="388"/>
    </row>
    <row r="21" spans="1:16" ht="12.95" customHeight="1" x14ac:dyDescent="0.2">
      <c r="A21" s="333"/>
      <c r="B21" s="387" t="s">
        <v>225</v>
      </c>
      <c r="C21" s="324"/>
      <c r="D21" s="324"/>
      <c r="E21" s="324"/>
      <c r="F21" s="227"/>
      <c r="G21" s="227"/>
      <c r="H21" s="229"/>
      <c r="I21" s="324"/>
      <c r="J21" s="227"/>
      <c r="K21" s="324"/>
      <c r="L21" s="327"/>
      <c r="M21" s="226"/>
      <c r="N21" s="220"/>
      <c r="O21" s="324"/>
      <c r="P21" s="388"/>
    </row>
    <row r="22" spans="1:16" ht="12.95" customHeight="1" x14ac:dyDescent="0.2">
      <c r="A22" s="333"/>
      <c r="B22" s="387" t="s">
        <v>226</v>
      </c>
      <c r="C22" s="324"/>
      <c r="D22" s="324"/>
      <c r="E22" s="324"/>
      <c r="F22" s="227"/>
      <c r="G22" s="227"/>
      <c r="H22" s="229"/>
      <c r="I22" s="324"/>
      <c r="J22" s="227"/>
      <c r="K22" s="324"/>
      <c r="L22" s="327"/>
      <c r="M22" s="226"/>
      <c r="N22" s="220"/>
      <c r="O22" s="324"/>
      <c r="P22" s="388"/>
    </row>
    <row r="23" spans="1:16" ht="12.95" customHeight="1" x14ac:dyDescent="0.2">
      <c r="A23" s="333"/>
      <c r="B23" s="387" t="s">
        <v>227</v>
      </c>
      <c r="C23" s="324"/>
      <c r="D23" s="324"/>
      <c r="E23" s="324"/>
      <c r="F23" s="227"/>
      <c r="G23" s="227"/>
      <c r="H23" s="229"/>
      <c r="I23" s="324"/>
      <c r="J23" s="227"/>
      <c r="K23" s="324"/>
      <c r="L23" s="327"/>
      <c r="M23" s="226"/>
      <c r="N23" s="220"/>
      <c r="O23" s="324"/>
      <c r="P23" s="388"/>
    </row>
    <row r="24" spans="1:16" ht="12.95" customHeight="1" x14ac:dyDescent="0.2">
      <c r="A24" s="333"/>
      <c r="B24" s="387" t="s">
        <v>228</v>
      </c>
      <c r="C24" s="324"/>
      <c r="D24" s="324"/>
      <c r="E24" s="324"/>
      <c r="F24" s="227"/>
      <c r="G24" s="227"/>
      <c r="H24" s="229"/>
      <c r="I24" s="324"/>
      <c r="J24" s="227"/>
      <c r="K24" s="324"/>
      <c r="L24" s="327"/>
      <c r="M24" s="226"/>
      <c r="N24" s="220"/>
      <c r="O24" s="324"/>
      <c r="P24" s="388"/>
    </row>
    <row r="25" spans="1:16" ht="12.95" customHeight="1" x14ac:dyDescent="0.2">
      <c r="A25" s="333"/>
      <c r="B25" s="387" t="s">
        <v>229</v>
      </c>
      <c r="C25" s="324"/>
      <c r="D25" s="324"/>
      <c r="E25" s="324"/>
      <c r="F25" s="227"/>
      <c r="G25" s="227"/>
      <c r="H25" s="229"/>
      <c r="I25" s="324"/>
      <c r="J25" s="227"/>
      <c r="K25" s="324"/>
      <c r="L25" s="327"/>
      <c r="M25" s="226"/>
      <c r="N25" s="220"/>
      <c r="O25" s="324"/>
      <c r="P25" s="388"/>
    </row>
    <row r="26" spans="1:16" ht="12.95" customHeight="1" x14ac:dyDescent="0.2">
      <c r="A26" s="333"/>
      <c r="B26" s="387" t="s">
        <v>230</v>
      </c>
      <c r="C26" s="324"/>
      <c r="D26" s="324"/>
      <c r="E26" s="324"/>
      <c r="F26" s="227"/>
      <c r="G26" s="227"/>
      <c r="H26" s="229"/>
      <c r="I26" s="324"/>
      <c r="J26" s="227"/>
      <c r="K26" s="324"/>
      <c r="L26" s="327"/>
      <c r="M26" s="226"/>
      <c r="N26" s="220"/>
      <c r="O26" s="324"/>
      <c r="P26" s="388"/>
    </row>
    <row r="27" spans="1:16" ht="12.95" customHeight="1" x14ac:dyDescent="0.2">
      <c r="A27" s="333"/>
      <c r="B27" s="387" t="s">
        <v>231</v>
      </c>
      <c r="C27" s="324"/>
      <c r="D27" s="324"/>
      <c r="E27" s="324"/>
      <c r="F27" s="227"/>
      <c r="G27" s="227"/>
      <c r="H27" s="229"/>
      <c r="I27" s="324"/>
      <c r="J27" s="227"/>
      <c r="K27" s="324"/>
      <c r="L27" s="327"/>
      <c r="M27" s="226"/>
      <c r="N27" s="220"/>
      <c r="O27" s="324"/>
      <c r="P27" s="388"/>
    </row>
    <row r="28" spans="1:16" ht="12.95" customHeight="1" x14ac:dyDescent="0.2">
      <c r="A28" s="333"/>
      <c r="B28" s="387" t="s">
        <v>232</v>
      </c>
      <c r="C28" s="324"/>
      <c r="D28" s="324"/>
      <c r="E28" s="324"/>
      <c r="F28" s="227"/>
      <c r="G28" s="227"/>
      <c r="H28" s="229"/>
      <c r="I28" s="324"/>
      <c r="J28" s="227"/>
      <c r="K28" s="324"/>
      <c r="L28" s="327"/>
      <c r="M28" s="226"/>
      <c r="N28" s="220"/>
      <c r="O28" s="324"/>
      <c r="P28" s="388"/>
    </row>
    <row r="29" spans="1:16" ht="13.5" customHeight="1" x14ac:dyDescent="0.2">
      <c r="A29" s="334"/>
      <c r="B29" s="389" t="s">
        <v>233</v>
      </c>
      <c r="C29" s="390"/>
      <c r="D29" s="390"/>
      <c r="E29" s="390"/>
      <c r="F29" s="391"/>
      <c r="G29" s="391"/>
      <c r="H29" s="392"/>
      <c r="I29" s="390"/>
      <c r="J29" s="391"/>
      <c r="K29" s="390"/>
      <c r="L29" s="393"/>
      <c r="M29" s="394"/>
      <c r="N29" s="395"/>
      <c r="O29" s="390"/>
      <c r="P29" s="396"/>
    </row>
    <row r="30" spans="1:16" ht="15.75" customHeight="1" x14ac:dyDescent="0.25">
      <c r="B30" s="2" t="s">
        <v>33</v>
      </c>
      <c r="C30" s="62">
        <f>SUM(C5:C29)</f>
        <v>0</v>
      </c>
      <c r="D30" s="62">
        <f>SUM(D5:D29)</f>
        <v>0</v>
      </c>
      <c r="E30" s="62">
        <f>SUM(E5:E29)</f>
        <v>0</v>
      </c>
      <c r="F30" s="62">
        <f>SUM(F5:F29)</f>
        <v>0</v>
      </c>
      <c r="G30" s="129">
        <f>SUM(G5:G29)</f>
        <v>0</v>
      </c>
      <c r="H30" s="381"/>
      <c r="I30" s="112">
        <f>SUM(I5:I29)</f>
        <v>0</v>
      </c>
      <c r="J30" s="62">
        <f>SUM(J5:J29)</f>
        <v>0</v>
      </c>
      <c r="K30" s="62">
        <f>SUM(K5:K29)</f>
        <v>0</v>
      </c>
      <c r="L30" s="62">
        <f>SUM(L5:L29)</f>
        <v>0</v>
      </c>
      <c r="M30" s="62">
        <f>SUM(M5:M29)</f>
        <v>0</v>
      </c>
      <c r="O30" s="62">
        <f>SUM(O5:O29)</f>
        <v>0</v>
      </c>
      <c r="P30" s="63"/>
    </row>
  </sheetData>
  <mergeCells count="7">
    <mergeCell ref="A3:A4"/>
    <mergeCell ref="B1:P2"/>
    <mergeCell ref="B3:B4"/>
    <mergeCell ref="D3:H3"/>
    <mergeCell ref="I3:N3"/>
    <mergeCell ref="O3:O4"/>
    <mergeCell ref="P3:P4"/>
  </mergeCells>
  <conditionalFormatting sqref="D5:D29 I5:I29 N5:N29">
    <cfRule type="cellIs" dxfId="7" priority="1" stopIfTrue="1" operator="greaterThan">
      <formula>0</formula>
    </cfRule>
  </conditionalFormatting>
  <printOptions horizontalCentered="1" verticalCentered="1"/>
  <pageMargins left="0.17986111111111111" right="0.17986111111111111" top="0.98402777777777772" bottom="0.98402777777777772" header="0.51180555555555551" footer="0.51180555555555551"/>
  <pageSetup paperSize="9" scale="67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7CE1C-FF5E-40EC-A0B7-C6DCB12692AD}">
  <sheetPr codeName="Feuil4">
    <pageSetUpPr fitToPage="1"/>
  </sheetPr>
  <dimension ref="A1:Q101"/>
  <sheetViews>
    <sheetView topLeftCell="A21" zoomScale="85" zoomScaleNormal="100" workbookViewId="0">
      <selection activeCell="B49" sqref="B49"/>
    </sheetView>
  </sheetViews>
  <sheetFormatPr defaultRowHeight="12.95" customHeight="1" x14ac:dyDescent="0.2"/>
  <cols>
    <col min="1" max="1" width="15.85546875" style="317" customWidth="1"/>
    <col min="2" max="2" width="55.7109375" bestFit="1" customWidth="1"/>
    <col min="3" max="3" width="0" hidden="1" bestFit="1" customWidth="1"/>
    <col min="4" max="4" width="31.7109375" style="1" bestFit="1" customWidth="1"/>
    <col min="5" max="5" width="12" style="1" bestFit="1" customWidth="1"/>
    <col min="6" max="6" width="23.5703125" style="1" bestFit="1" customWidth="1"/>
    <col min="7" max="8" width="0" style="1" hidden="1" bestFit="1" customWidth="1"/>
    <col min="9" max="9" width="22" bestFit="1" customWidth="1"/>
    <col min="10" max="10" width="9.140625" bestFit="1" customWidth="1"/>
    <col min="11" max="11" width="0" hidden="1" bestFit="1" customWidth="1"/>
    <col min="12" max="12" width="16.5703125" bestFit="1" customWidth="1"/>
    <col min="13" max="13" width="0" hidden="1" bestFit="1" customWidth="1"/>
    <col min="14" max="14" width="22" bestFit="1" customWidth="1"/>
    <col min="15" max="15" width="16.7109375" bestFit="1" customWidth="1"/>
    <col min="16" max="16" width="27.140625" bestFit="1" customWidth="1"/>
    <col min="17" max="257" width="9.140625" bestFit="1" customWidth="1"/>
  </cols>
  <sheetData>
    <row r="1" spans="1:17" ht="12.95" customHeight="1" x14ac:dyDescent="0.2">
      <c r="B1" s="339" t="s">
        <v>460</v>
      </c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41"/>
    </row>
    <row r="2" spans="1:17" ht="13.5" customHeight="1" x14ac:dyDescent="0.2"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41"/>
    </row>
    <row r="3" spans="1:17" ht="57" customHeight="1" x14ac:dyDescent="0.2">
      <c r="A3" s="379" t="s">
        <v>455</v>
      </c>
      <c r="B3" s="376" t="s">
        <v>234</v>
      </c>
      <c r="C3" s="6" t="s">
        <v>235</v>
      </c>
      <c r="D3" s="149" t="s">
        <v>56</v>
      </c>
      <c r="E3" s="345" t="s">
        <v>57</v>
      </c>
      <c r="F3" s="345"/>
      <c r="G3" s="345"/>
      <c r="H3" s="345"/>
      <c r="I3" s="345"/>
      <c r="J3" s="345" t="s">
        <v>58</v>
      </c>
      <c r="K3" s="345"/>
      <c r="L3" s="345"/>
      <c r="M3" s="345"/>
      <c r="N3" s="345"/>
      <c r="O3" s="346" t="s">
        <v>59</v>
      </c>
      <c r="P3" s="346" t="s">
        <v>60</v>
      </c>
    </row>
    <row r="4" spans="1:17" ht="16.5" customHeight="1" x14ac:dyDescent="0.2">
      <c r="A4" s="380"/>
      <c r="B4" s="376"/>
      <c r="C4" s="148" t="s">
        <v>236</v>
      </c>
      <c r="D4" s="150" t="s">
        <v>62</v>
      </c>
      <c r="E4" s="81" t="s">
        <v>16</v>
      </c>
      <c r="F4" s="46" t="s">
        <v>63</v>
      </c>
      <c r="G4" s="46" t="s">
        <v>64</v>
      </c>
      <c r="H4" s="46" t="s">
        <v>65</v>
      </c>
      <c r="I4" s="47" t="s">
        <v>14</v>
      </c>
      <c r="J4" s="46" t="s">
        <v>16</v>
      </c>
      <c r="K4" s="46" t="s">
        <v>66</v>
      </c>
      <c r="L4" s="48" t="s">
        <v>67</v>
      </c>
      <c r="M4" s="46" t="s">
        <v>65</v>
      </c>
      <c r="N4" s="47" t="s">
        <v>14</v>
      </c>
      <c r="O4" s="346"/>
      <c r="P4" s="346"/>
    </row>
    <row r="5" spans="1:17" ht="12.95" customHeight="1" x14ac:dyDescent="0.2">
      <c r="A5" s="333"/>
      <c r="B5" s="397" t="s">
        <v>237</v>
      </c>
      <c r="C5" t="s">
        <v>20</v>
      </c>
      <c r="E5" s="315"/>
      <c r="F5" s="315"/>
      <c r="G5" s="315"/>
      <c r="H5" s="175"/>
      <c r="I5" s="218"/>
      <c r="J5" s="315"/>
      <c r="K5" s="206"/>
      <c r="L5" s="315"/>
      <c r="M5" s="206"/>
      <c r="N5" s="218"/>
      <c r="O5" s="206"/>
      <c r="P5" s="315"/>
    </row>
    <row r="6" spans="1:17" ht="12.95" customHeight="1" x14ac:dyDescent="0.2">
      <c r="A6" s="333"/>
      <c r="B6" s="398" t="s">
        <v>238</v>
      </c>
      <c r="C6" t="s">
        <v>20</v>
      </c>
      <c r="E6" s="315"/>
      <c r="F6" s="315"/>
      <c r="G6" s="315"/>
      <c r="H6" s="175"/>
      <c r="I6" s="218"/>
      <c r="J6" s="315"/>
      <c r="K6" s="206"/>
      <c r="L6" s="315"/>
      <c r="M6" s="206"/>
      <c r="N6" s="218"/>
      <c r="O6" s="206"/>
      <c r="P6" s="315"/>
    </row>
    <row r="7" spans="1:17" ht="12.95" customHeight="1" x14ac:dyDescent="0.2">
      <c r="A7" s="333"/>
      <c r="B7" s="398" t="s">
        <v>239</v>
      </c>
      <c r="C7" s="56" t="e">
        <f>CRE!#REF!-CRE_Marche!D7</f>
        <v>#REF!</v>
      </c>
      <c r="E7" s="315"/>
      <c r="F7" s="315"/>
      <c r="G7" s="315"/>
      <c r="H7" s="175"/>
      <c r="I7" s="218"/>
      <c r="J7" s="315"/>
      <c r="K7" s="206"/>
      <c r="L7" s="315"/>
      <c r="M7" s="206"/>
      <c r="N7" s="218"/>
      <c r="O7" s="206"/>
      <c r="P7" s="315"/>
    </row>
    <row r="8" spans="1:17" ht="12.95" customHeight="1" x14ac:dyDescent="0.2">
      <c r="A8" s="333"/>
      <c r="B8" s="398" t="s">
        <v>240</v>
      </c>
      <c r="C8" t="s">
        <v>20</v>
      </c>
      <c r="E8" s="315"/>
      <c r="F8" s="315"/>
      <c r="G8" s="315"/>
      <c r="H8" s="175"/>
      <c r="I8" s="218"/>
      <c r="J8" s="315"/>
      <c r="K8" s="206"/>
      <c r="L8" s="315"/>
      <c r="M8" s="206"/>
      <c r="N8" s="218"/>
      <c r="O8" s="206"/>
      <c r="P8" s="315"/>
    </row>
    <row r="9" spans="1:17" ht="12.95" customHeight="1" x14ac:dyDescent="0.2">
      <c r="A9" s="333"/>
      <c r="B9" s="398" t="s">
        <v>241</v>
      </c>
      <c r="C9" t="s">
        <v>20</v>
      </c>
      <c r="E9" s="315"/>
      <c r="F9" s="315"/>
      <c r="G9" s="315"/>
      <c r="H9" s="175"/>
      <c r="I9" s="218"/>
      <c r="J9" s="315"/>
      <c r="K9" s="206"/>
      <c r="L9" s="315"/>
      <c r="M9" s="206"/>
      <c r="N9" s="218"/>
      <c r="O9" s="206"/>
      <c r="P9" s="315"/>
    </row>
    <row r="10" spans="1:17" ht="12.95" customHeight="1" x14ac:dyDescent="0.2">
      <c r="A10" s="333"/>
      <c r="B10" s="398" t="s">
        <v>242</v>
      </c>
      <c r="C10" t="s">
        <v>20</v>
      </c>
      <c r="E10" s="315"/>
      <c r="F10" s="315"/>
      <c r="G10" s="315"/>
      <c r="H10" s="175"/>
      <c r="I10" s="218"/>
      <c r="J10" s="315"/>
      <c r="K10" s="206"/>
      <c r="L10" s="315"/>
      <c r="M10" s="206"/>
      <c r="N10" s="218"/>
      <c r="O10" s="206"/>
      <c r="P10" s="315"/>
    </row>
    <row r="11" spans="1:17" ht="12.95" customHeight="1" x14ac:dyDescent="0.2">
      <c r="A11" s="333"/>
      <c r="B11" s="398" t="s">
        <v>243</v>
      </c>
      <c r="C11" t="s">
        <v>20</v>
      </c>
      <c r="E11" s="315"/>
      <c r="F11" s="315"/>
      <c r="G11" s="315"/>
      <c r="H11" s="175"/>
      <c r="I11" s="218"/>
      <c r="J11" s="315"/>
      <c r="K11" s="206"/>
      <c r="L11" s="315"/>
      <c r="M11" s="206"/>
      <c r="N11" s="218"/>
      <c r="O11" s="206"/>
      <c r="P11" s="315"/>
    </row>
    <row r="12" spans="1:17" ht="12.95" customHeight="1" x14ac:dyDescent="0.2">
      <c r="A12" s="333"/>
      <c r="B12" s="398" t="s">
        <v>244</v>
      </c>
      <c r="C12" t="s">
        <v>20</v>
      </c>
      <c r="E12" s="315"/>
      <c r="F12" s="315"/>
      <c r="G12" s="315"/>
      <c r="H12" s="175"/>
      <c r="I12" s="218"/>
      <c r="J12" s="315"/>
      <c r="K12" s="206"/>
      <c r="L12" s="315"/>
      <c r="M12" s="206"/>
      <c r="N12" s="218"/>
      <c r="O12" s="206"/>
      <c r="P12" s="315"/>
    </row>
    <row r="13" spans="1:17" ht="12.95" customHeight="1" x14ac:dyDescent="0.2">
      <c r="A13" s="333"/>
      <c r="B13" s="398" t="s">
        <v>245</v>
      </c>
      <c r="C13" s="63"/>
      <c r="E13" s="315"/>
      <c r="F13" s="315"/>
      <c r="G13" s="315"/>
      <c r="H13" s="175"/>
      <c r="I13" s="218"/>
      <c r="J13" s="315"/>
      <c r="K13" s="206"/>
      <c r="L13" s="315"/>
      <c r="M13" s="206"/>
      <c r="N13" s="218"/>
      <c r="O13" s="206"/>
      <c r="P13" s="315"/>
    </row>
    <row r="14" spans="1:17" ht="12.95" customHeight="1" x14ac:dyDescent="0.2">
      <c r="A14" s="333"/>
      <c r="B14" s="378" t="s">
        <v>246</v>
      </c>
      <c r="C14" s="56" t="e">
        <f>CRE!L10-CRE_Marche!#REF!</f>
        <v>#REF!</v>
      </c>
      <c r="E14" s="315"/>
      <c r="F14" s="315"/>
      <c r="G14" s="315"/>
      <c r="H14" s="175"/>
      <c r="I14" s="218"/>
      <c r="J14" s="315"/>
      <c r="K14" s="206"/>
      <c r="L14" s="315"/>
      <c r="M14" s="206"/>
      <c r="N14" s="218"/>
      <c r="O14" s="206"/>
      <c r="P14" s="315"/>
    </row>
    <row r="15" spans="1:17" ht="12.95" customHeight="1" x14ac:dyDescent="0.2">
      <c r="A15" s="333"/>
      <c r="B15" s="398" t="s">
        <v>247</v>
      </c>
      <c r="C15" t="s">
        <v>20</v>
      </c>
      <c r="E15" s="315"/>
      <c r="F15" s="315"/>
      <c r="G15" s="315"/>
      <c r="H15" s="175"/>
      <c r="I15" s="218"/>
      <c r="J15" s="315"/>
      <c r="K15" s="206"/>
      <c r="L15" s="315"/>
      <c r="M15" s="206"/>
      <c r="N15" s="218"/>
      <c r="O15" s="206"/>
      <c r="P15" s="315"/>
    </row>
    <row r="16" spans="1:17" ht="12.95" customHeight="1" x14ac:dyDescent="0.2">
      <c r="A16" s="333"/>
      <c r="B16" s="398" t="s">
        <v>248</v>
      </c>
      <c r="C16" t="s">
        <v>20</v>
      </c>
      <c r="E16" s="315"/>
      <c r="F16" s="315"/>
      <c r="G16" s="315"/>
      <c r="H16" s="175"/>
      <c r="I16" s="218"/>
      <c r="J16" s="315"/>
      <c r="K16" s="206"/>
      <c r="L16" s="315"/>
      <c r="M16" s="206"/>
      <c r="N16" s="218"/>
      <c r="O16" s="206"/>
      <c r="P16" s="315"/>
    </row>
    <row r="17" spans="1:16" ht="12.95" customHeight="1" x14ac:dyDescent="0.2">
      <c r="A17" s="333"/>
      <c r="B17" s="398" t="s">
        <v>249</v>
      </c>
      <c r="C17" t="s">
        <v>20</v>
      </c>
      <c r="E17" s="315"/>
      <c r="F17" s="315"/>
      <c r="G17" s="315"/>
      <c r="H17" s="175"/>
      <c r="I17" s="218"/>
      <c r="J17" s="315"/>
      <c r="K17" s="206"/>
      <c r="L17" s="315"/>
      <c r="M17" s="206"/>
      <c r="N17" s="218"/>
      <c r="O17" s="206"/>
      <c r="P17" s="315"/>
    </row>
    <row r="18" spans="1:16" ht="12.95" customHeight="1" x14ac:dyDescent="0.2">
      <c r="A18" s="333"/>
      <c r="B18" s="398" t="s">
        <v>250</v>
      </c>
      <c r="C18" t="s">
        <v>20</v>
      </c>
      <c r="E18" s="315"/>
      <c r="F18" s="315"/>
      <c r="G18" s="315"/>
      <c r="H18" s="175"/>
      <c r="I18" s="218"/>
      <c r="J18" s="315"/>
      <c r="K18" s="206"/>
      <c r="L18" s="315"/>
      <c r="M18" s="206"/>
      <c r="N18" s="218"/>
      <c r="O18" s="206"/>
      <c r="P18" s="315"/>
    </row>
    <row r="19" spans="1:16" ht="12.95" customHeight="1" x14ac:dyDescent="0.2">
      <c r="A19" s="333"/>
      <c r="B19" s="398" t="s">
        <v>251</v>
      </c>
      <c r="C19" t="s">
        <v>20</v>
      </c>
      <c r="E19" s="315"/>
      <c r="F19" s="315"/>
      <c r="G19" s="315"/>
      <c r="H19" s="175"/>
      <c r="I19" s="218"/>
      <c r="J19" s="315"/>
      <c r="K19" s="206"/>
      <c r="L19" s="315"/>
      <c r="M19" s="206"/>
      <c r="N19" s="218"/>
      <c r="O19" s="206"/>
      <c r="P19" s="315"/>
    </row>
    <row r="20" spans="1:16" ht="12.95" customHeight="1" x14ac:dyDescent="0.2">
      <c r="A20" s="333"/>
      <c r="B20" s="398" t="s">
        <v>252</v>
      </c>
      <c r="C20" t="s">
        <v>20</v>
      </c>
      <c r="E20" s="315"/>
      <c r="F20" s="315"/>
      <c r="G20" s="315"/>
      <c r="H20" s="175"/>
      <c r="I20" s="218"/>
      <c r="J20" s="315"/>
      <c r="K20" s="206"/>
      <c r="L20" s="315"/>
      <c r="M20" s="206"/>
      <c r="N20" s="218"/>
      <c r="O20" s="206"/>
      <c r="P20" s="315"/>
    </row>
    <row r="21" spans="1:16" ht="12.95" customHeight="1" x14ac:dyDescent="0.2">
      <c r="A21" s="333"/>
      <c r="B21" s="398" t="s">
        <v>253</v>
      </c>
      <c r="C21" t="s">
        <v>20</v>
      </c>
      <c r="E21" s="315"/>
      <c r="F21" s="315"/>
      <c r="G21" s="315"/>
      <c r="H21" s="175"/>
      <c r="I21" s="218"/>
      <c r="J21" s="315"/>
      <c r="K21" s="206"/>
      <c r="L21" s="315"/>
      <c r="M21" s="206"/>
      <c r="N21" s="218"/>
      <c r="O21" s="206"/>
      <c r="P21" s="315"/>
    </row>
    <row r="22" spans="1:16" ht="13.5" customHeight="1" x14ac:dyDescent="0.2">
      <c r="A22" s="333"/>
      <c r="B22" s="378" t="s">
        <v>254</v>
      </c>
      <c r="C22" s="63"/>
      <c r="E22" s="315"/>
      <c r="F22" s="315"/>
      <c r="G22" s="315"/>
      <c r="H22" s="175"/>
      <c r="I22" s="218"/>
      <c r="J22" s="315"/>
      <c r="K22" s="206"/>
      <c r="L22" s="315"/>
      <c r="M22" s="206"/>
      <c r="N22" s="218"/>
      <c r="O22" s="206"/>
      <c r="P22" s="315"/>
    </row>
    <row r="23" spans="1:16" ht="13.5" customHeight="1" x14ac:dyDescent="0.2">
      <c r="A23" s="333"/>
      <c r="B23" s="95" t="s">
        <v>255</v>
      </c>
      <c r="C23" t="s">
        <v>20</v>
      </c>
      <c r="E23" s="315"/>
      <c r="F23" s="315"/>
      <c r="G23" s="315"/>
      <c r="H23" s="175"/>
      <c r="I23" s="218"/>
      <c r="J23" s="315"/>
      <c r="K23" s="206"/>
      <c r="L23" s="315"/>
      <c r="M23" s="206"/>
      <c r="N23" s="218"/>
      <c r="O23" s="206"/>
      <c r="P23" s="315"/>
    </row>
    <row r="24" spans="1:16" ht="13.5" customHeight="1" x14ac:dyDescent="0.2">
      <c r="A24" s="333"/>
      <c r="B24" s="95" t="s">
        <v>256</v>
      </c>
      <c r="C24" s="146"/>
      <c r="E24" s="315"/>
      <c r="F24" s="315"/>
      <c r="G24" s="315"/>
      <c r="H24" s="175"/>
      <c r="I24" s="218"/>
      <c r="J24" s="315"/>
      <c r="K24" s="206"/>
      <c r="L24" s="315"/>
      <c r="M24" s="206"/>
      <c r="N24" s="218"/>
      <c r="O24" s="206"/>
      <c r="P24" s="315"/>
    </row>
    <row r="25" spans="1:16" ht="13.5" customHeight="1" x14ac:dyDescent="0.2">
      <c r="A25" s="333"/>
      <c r="B25" s="95" t="s">
        <v>257</v>
      </c>
      <c r="C25" s="146"/>
      <c r="E25" s="315"/>
      <c r="F25" s="315"/>
      <c r="G25" s="315"/>
      <c r="H25" s="175"/>
      <c r="I25" s="218"/>
      <c r="J25" s="315"/>
      <c r="K25" s="206"/>
      <c r="L25" s="315"/>
      <c r="M25" s="206"/>
      <c r="N25" s="218"/>
      <c r="O25" s="206"/>
      <c r="P25" s="315"/>
    </row>
    <row r="26" spans="1:16" ht="13.5" customHeight="1" x14ac:dyDescent="0.2">
      <c r="A26" s="333"/>
      <c r="B26" s="95" t="s">
        <v>258</v>
      </c>
      <c r="C26" t="s">
        <v>20</v>
      </c>
      <c r="E26" s="315"/>
      <c r="F26" s="315"/>
      <c r="G26" s="315"/>
      <c r="H26" s="175"/>
      <c r="I26" s="218"/>
      <c r="J26" s="315"/>
      <c r="K26" s="206"/>
      <c r="L26" s="315"/>
      <c r="M26" s="206"/>
      <c r="N26" s="218"/>
      <c r="O26" s="206"/>
      <c r="P26" s="315"/>
    </row>
    <row r="27" spans="1:16" ht="13.5" customHeight="1" x14ac:dyDescent="0.2">
      <c r="A27" s="333"/>
      <c r="B27" s="95" t="s">
        <v>259</v>
      </c>
      <c r="C27" t="s">
        <v>20</v>
      </c>
      <c r="E27" s="315"/>
      <c r="F27" s="315"/>
      <c r="G27" s="315"/>
      <c r="H27" s="175"/>
      <c r="I27" s="218"/>
      <c r="J27" s="315"/>
      <c r="K27" s="206"/>
      <c r="L27" s="315"/>
      <c r="M27" s="206"/>
      <c r="N27" s="218"/>
      <c r="O27" s="206"/>
      <c r="P27" s="315"/>
    </row>
    <row r="28" spans="1:16" ht="13.5" customHeight="1" x14ac:dyDescent="0.2">
      <c r="A28" s="333"/>
      <c r="B28" s="95" t="s">
        <v>260</v>
      </c>
      <c r="C28" t="s">
        <v>20</v>
      </c>
      <c r="E28" s="315"/>
      <c r="F28" s="315"/>
      <c r="G28" s="315"/>
      <c r="H28" s="175"/>
      <c r="I28" s="218"/>
      <c r="J28" s="315"/>
      <c r="K28" s="206"/>
      <c r="L28" s="315"/>
      <c r="M28" s="206"/>
      <c r="N28" s="218"/>
      <c r="O28" s="206"/>
      <c r="P28" s="315"/>
    </row>
    <row r="29" spans="1:16" ht="13.5" customHeight="1" x14ac:dyDescent="0.2">
      <c r="A29" s="333"/>
      <c r="B29" s="95" t="s">
        <v>261</v>
      </c>
      <c r="C29" t="s">
        <v>20</v>
      </c>
      <c r="E29" s="315"/>
      <c r="F29" s="315"/>
      <c r="G29" s="315"/>
      <c r="H29" s="175"/>
      <c r="I29" s="218"/>
      <c r="J29" s="315"/>
      <c r="K29" s="206"/>
      <c r="L29" s="315"/>
      <c r="M29" s="206"/>
      <c r="N29" s="218"/>
      <c r="O29" s="206"/>
      <c r="P29" s="315"/>
    </row>
    <row r="30" spans="1:16" ht="13.5" customHeight="1" x14ac:dyDescent="0.2">
      <c r="A30" s="333"/>
      <c r="B30" s="95" t="s">
        <v>262</v>
      </c>
      <c r="C30" t="s">
        <v>20</v>
      </c>
      <c r="E30" s="315"/>
      <c r="F30" s="315"/>
      <c r="G30" s="315"/>
      <c r="H30" s="175"/>
      <c r="I30" s="218"/>
      <c r="J30" s="315"/>
      <c r="K30" s="206"/>
      <c r="L30" s="315"/>
      <c r="M30" s="206"/>
      <c r="N30" s="218"/>
      <c r="O30" s="206"/>
      <c r="P30" s="315"/>
    </row>
    <row r="31" spans="1:16" ht="13.5" customHeight="1" x14ac:dyDescent="0.2">
      <c r="A31" s="333"/>
      <c r="B31" s="95" t="s">
        <v>263</v>
      </c>
      <c r="C31" t="s">
        <v>20</v>
      </c>
      <c r="E31" s="315"/>
      <c r="F31" s="315"/>
      <c r="G31" s="315"/>
      <c r="H31" s="175"/>
      <c r="I31" s="218"/>
      <c r="J31" s="315"/>
      <c r="K31" s="206"/>
      <c r="L31" s="315"/>
      <c r="M31" s="206"/>
      <c r="N31" s="218"/>
      <c r="O31" s="206"/>
      <c r="P31" s="315"/>
    </row>
    <row r="32" spans="1:16" ht="13.5" customHeight="1" x14ac:dyDescent="0.2">
      <c r="A32" s="333"/>
      <c r="B32" s="95" t="s">
        <v>264</v>
      </c>
      <c r="C32" t="s">
        <v>20</v>
      </c>
      <c r="E32" s="315"/>
      <c r="F32" s="315"/>
      <c r="G32" s="315"/>
      <c r="H32" s="175"/>
      <c r="I32" s="218"/>
      <c r="J32" s="315"/>
      <c r="K32" s="206"/>
      <c r="L32" s="315"/>
      <c r="M32" s="206"/>
      <c r="N32" s="218"/>
      <c r="O32" s="206"/>
      <c r="P32" s="315"/>
    </row>
    <row r="33" spans="1:17" ht="13.5" customHeight="1" x14ac:dyDescent="0.2">
      <c r="A33" s="333"/>
      <c r="B33" s="95" t="s">
        <v>265</v>
      </c>
      <c r="C33" t="s">
        <v>20</v>
      </c>
      <c r="E33" s="315"/>
      <c r="F33" s="315"/>
      <c r="G33" s="315"/>
      <c r="H33" s="175"/>
      <c r="I33" s="218"/>
      <c r="J33" s="315"/>
      <c r="K33" s="206"/>
      <c r="L33" s="315"/>
      <c r="M33" s="206"/>
      <c r="N33" s="218"/>
      <c r="O33" s="206"/>
      <c r="P33" s="315"/>
    </row>
    <row r="34" spans="1:17" ht="13.5" customHeight="1" x14ac:dyDescent="0.2">
      <c r="A34" s="333"/>
      <c r="B34" s="95" t="s">
        <v>266</v>
      </c>
      <c r="C34" t="s">
        <v>20</v>
      </c>
      <c r="E34" s="315"/>
      <c r="F34" s="315"/>
      <c r="G34" s="315"/>
      <c r="H34" s="175"/>
      <c r="I34" s="218"/>
      <c r="J34" s="315"/>
      <c r="K34" s="206"/>
      <c r="L34" s="315"/>
      <c r="M34" s="206"/>
      <c r="N34" s="218"/>
      <c r="O34" s="206"/>
      <c r="P34" s="315"/>
    </row>
    <row r="35" spans="1:17" ht="13.5" customHeight="1" x14ac:dyDescent="0.2">
      <c r="A35" s="333"/>
      <c r="B35" s="95" t="s">
        <v>267</v>
      </c>
      <c r="C35" t="s">
        <v>20</v>
      </c>
      <c r="E35" s="315"/>
      <c r="F35" s="315"/>
      <c r="G35" s="315"/>
      <c r="H35" s="175"/>
      <c r="I35" s="218"/>
      <c r="J35" s="315"/>
      <c r="K35" s="206"/>
      <c r="L35" s="315"/>
      <c r="M35" s="206"/>
      <c r="N35" s="218"/>
      <c r="O35" s="206"/>
      <c r="P35" s="315"/>
    </row>
    <row r="36" spans="1:17" ht="13.5" customHeight="1" x14ac:dyDescent="0.2">
      <c r="A36" s="333"/>
      <c r="B36" s="95" t="s">
        <v>268</v>
      </c>
      <c r="C36" t="s">
        <v>20</v>
      </c>
      <c r="E36" s="315"/>
      <c r="F36" s="315"/>
      <c r="G36" s="315"/>
      <c r="H36" s="175"/>
      <c r="I36" s="218"/>
      <c r="J36" s="315"/>
      <c r="K36" s="206"/>
      <c r="L36" s="315"/>
      <c r="M36" s="206"/>
      <c r="N36" s="218"/>
      <c r="O36" s="206"/>
      <c r="P36" s="315"/>
    </row>
    <row r="37" spans="1:17" ht="13.5" customHeight="1" x14ac:dyDescent="0.2">
      <c r="A37" s="333"/>
      <c r="B37" s="95" t="s">
        <v>269</v>
      </c>
      <c r="C37" t="s">
        <v>20</v>
      </c>
      <c r="E37" s="315"/>
      <c r="F37" s="315"/>
      <c r="G37" s="315"/>
      <c r="H37" s="175"/>
      <c r="I37" s="218"/>
      <c r="J37" s="315"/>
      <c r="K37" s="206"/>
      <c r="L37" s="315"/>
      <c r="M37" s="206"/>
      <c r="N37" s="218"/>
      <c r="O37" s="206"/>
      <c r="P37" s="315"/>
    </row>
    <row r="38" spans="1:17" ht="13.5" customHeight="1" x14ac:dyDescent="0.2">
      <c r="A38" s="333"/>
      <c r="B38" s="95" t="s">
        <v>270</v>
      </c>
      <c r="C38" t="s">
        <v>20</v>
      </c>
      <c r="E38" s="315"/>
      <c r="F38" s="315"/>
      <c r="G38" s="315"/>
      <c r="H38" s="175"/>
      <c r="I38" s="218"/>
      <c r="J38" s="315"/>
      <c r="K38" s="206"/>
      <c r="L38" s="315"/>
      <c r="M38" s="206"/>
      <c r="N38" s="218"/>
      <c r="O38" s="206"/>
      <c r="P38" s="315"/>
    </row>
    <row r="39" spans="1:17" ht="13.5" customHeight="1" x14ac:dyDescent="0.2">
      <c r="A39" s="333"/>
      <c r="B39" s="95" t="s">
        <v>271</v>
      </c>
      <c r="C39" t="s">
        <v>20</v>
      </c>
      <c r="E39" s="315"/>
      <c r="F39" s="315"/>
      <c r="G39" s="315"/>
      <c r="H39" s="175"/>
      <c r="I39" s="218"/>
      <c r="J39" s="315"/>
      <c r="K39" s="206"/>
      <c r="L39" s="315"/>
      <c r="M39" s="206"/>
      <c r="N39" s="218"/>
      <c r="O39" s="206"/>
      <c r="P39" s="315"/>
    </row>
    <row r="40" spans="1:17" ht="13.5" customHeight="1" x14ac:dyDescent="0.2">
      <c r="A40" s="334"/>
      <c r="B40" s="399" t="s">
        <v>272</v>
      </c>
      <c r="C40" t="s">
        <v>20</v>
      </c>
      <c r="E40" s="315"/>
      <c r="F40" s="315"/>
      <c r="G40" s="315"/>
      <c r="H40" s="175"/>
      <c r="I40" s="218"/>
      <c r="J40" s="315"/>
      <c r="K40" s="206"/>
      <c r="L40" s="315"/>
      <c r="M40" s="206"/>
      <c r="N40" s="218"/>
      <c r="O40" s="206"/>
      <c r="P40" s="315"/>
    </row>
    <row r="41" spans="1:17" ht="13.5" customHeight="1" x14ac:dyDescent="0.25">
      <c r="B41" s="2" t="s">
        <v>33</v>
      </c>
      <c r="C41" s="63"/>
      <c r="D41" s="151">
        <f>SUM(D5:D40)</f>
        <v>0</v>
      </c>
      <c r="E41" s="151">
        <f>SUM(E5:E40)</f>
        <v>0</v>
      </c>
      <c r="F41" s="151">
        <f>SUM(F5:F40)</f>
        <v>0</v>
      </c>
      <c r="G41" s="152"/>
      <c r="H41" s="152"/>
      <c r="I41" s="235"/>
      <c r="J41" s="151">
        <f>SUM(J5:J40)</f>
        <v>0</v>
      </c>
      <c r="K41" s="151">
        <f>SUM(K5:K22)</f>
        <v>0</v>
      </c>
      <c r="L41" s="151">
        <f>SUM(L5:L40)</f>
        <v>0</v>
      </c>
      <c r="M41" s="152"/>
      <c r="N41" s="235"/>
      <c r="O41" s="151">
        <f>SUM(O5:O40)</f>
        <v>0</v>
      </c>
      <c r="P41" s="127"/>
      <c r="Q41" s="63"/>
    </row>
    <row r="42" spans="1:17" ht="13.5" customHeight="1" x14ac:dyDescent="0.2">
      <c r="B42" s="17"/>
      <c r="C42" t="s">
        <v>20</v>
      </c>
      <c r="D42" s="18"/>
      <c r="E42" s="67"/>
      <c r="F42" s="18"/>
      <c r="G42" s="65"/>
      <c r="H42" s="34"/>
      <c r="I42" s="219"/>
      <c r="J42" s="67"/>
      <c r="K42" s="35"/>
      <c r="L42" s="18"/>
      <c r="M42" s="35"/>
      <c r="N42" s="219"/>
      <c r="O42" s="25"/>
      <c r="P42" s="25"/>
    </row>
    <row r="43" spans="1:17" ht="13.5" customHeight="1" x14ac:dyDescent="0.2">
      <c r="B43" s="22"/>
      <c r="C43" t="s">
        <v>20</v>
      </c>
      <c r="D43" s="23"/>
      <c r="E43" s="72"/>
      <c r="F43" s="23"/>
      <c r="G43" s="71"/>
      <c r="H43" s="55"/>
      <c r="I43" s="222"/>
      <c r="J43" s="72"/>
      <c r="K43" s="54"/>
      <c r="L43" s="23"/>
      <c r="M43" s="54"/>
      <c r="N43" s="222"/>
      <c r="O43" s="31"/>
      <c r="P43" s="31"/>
    </row>
    <row r="44" spans="1:17" ht="12.95" customHeight="1" x14ac:dyDescent="0.2">
      <c r="A44" s="332"/>
      <c r="B44" s="398" t="s">
        <v>273</v>
      </c>
      <c r="C44" t="s">
        <v>20</v>
      </c>
      <c r="E44" s="315"/>
      <c r="F44" s="315"/>
      <c r="G44" s="315"/>
      <c r="H44" s="175"/>
      <c r="I44" s="218"/>
      <c r="J44" s="315"/>
      <c r="K44" s="206"/>
      <c r="L44" s="315"/>
      <c r="M44" s="206"/>
      <c r="N44" s="218"/>
      <c r="O44" s="206"/>
      <c r="P44" s="315"/>
    </row>
    <row r="45" spans="1:17" ht="12.95" customHeight="1" x14ac:dyDescent="0.2">
      <c r="A45" s="333"/>
      <c r="B45" s="398" t="s">
        <v>274</v>
      </c>
      <c r="C45" t="s">
        <v>20</v>
      </c>
      <c r="E45" s="315"/>
      <c r="F45" s="315"/>
      <c r="G45" s="315"/>
      <c r="H45" s="175"/>
      <c r="I45" s="218"/>
      <c r="J45" s="315"/>
      <c r="K45" s="206"/>
      <c r="L45" s="315"/>
      <c r="M45" s="206"/>
      <c r="N45" s="218"/>
      <c r="O45" s="206"/>
      <c r="P45" s="315"/>
    </row>
    <row r="46" spans="1:17" ht="12.95" customHeight="1" x14ac:dyDescent="0.2">
      <c r="A46" s="333"/>
      <c r="B46" s="398" t="s">
        <v>275</v>
      </c>
      <c r="C46" s="63"/>
      <c r="E46" s="315"/>
      <c r="F46" s="315"/>
      <c r="G46" s="315"/>
      <c r="H46" s="175"/>
      <c r="I46" s="218"/>
      <c r="J46" s="315"/>
      <c r="K46" s="206"/>
      <c r="L46" s="315"/>
      <c r="M46" s="206"/>
      <c r="N46" s="218"/>
      <c r="O46" s="206"/>
      <c r="P46" s="315"/>
    </row>
    <row r="47" spans="1:17" ht="12.95" customHeight="1" x14ac:dyDescent="0.2">
      <c r="A47" s="333"/>
      <c r="B47" s="398" t="s">
        <v>276</v>
      </c>
      <c r="C47" t="s">
        <v>20</v>
      </c>
      <c r="E47" s="315"/>
      <c r="F47" s="315"/>
      <c r="G47" s="315"/>
      <c r="H47" s="175"/>
      <c r="I47" s="218"/>
      <c r="J47" s="315"/>
      <c r="K47" s="206"/>
      <c r="L47" s="315"/>
      <c r="M47" s="206"/>
      <c r="N47" s="218"/>
      <c r="O47" s="206"/>
      <c r="P47" s="315"/>
    </row>
    <row r="48" spans="1:17" ht="12.95" customHeight="1" x14ac:dyDescent="0.2">
      <c r="A48" s="333"/>
      <c r="B48" s="398" t="s">
        <v>273</v>
      </c>
      <c r="C48" t="s">
        <v>20</v>
      </c>
      <c r="E48" s="315"/>
      <c r="F48" s="315"/>
      <c r="G48" s="315"/>
      <c r="H48" s="175"/>
      <c r="I48" s="218"/>
      <c r="J48" s="315"/>
      <c r="K48" s="206"/>
      <c r="L48" s="315"/>
      <c r="M48" s="206"/>
      <c r="N48" s="218"/>
      <c r="O48" s="206"/>
      <c r="P48" s="315"/>
    </row>
    <row r="49" spans="1:16" ht="12.95" customHeight="1" x14ac:dyDescent="0.2">
      <c r="A49" s="333"/>
      <c r="B49" s="398" t="s">
        <v>277</v>
      </c>
      <c r="C49" s="56">
        <f>CRE!L21-CRE_Marche!D97</f>
        <v>0</v>
      </c>
      <c r="E49" s="315"/>
      <c r="F49" s="315"/>
      <c r="G49" s="315"/>
      <c r="H49" s="175"/>
      <c r="I49" s="218"/>
      <c r="J49" s="315"/>
      <c r="K49" s="206"/>
      <c r="L49" s="315"/>
      <c r="M49" s="206"/>
      <c r="N49" s="218"/>
      <c r="O49" s="206"/>
      <c r="P49" s="315"/>
    </row>
    <row r="50" spans="1:16" ht="12.95" customHeight="1" x14ac:dyDescent="0.2">
      <c r="A50" s="333"/>
      <c r="B50" s="398" t="s">
        <v>278</v>
      </c>
      <c r="C50" t="s">
        <v>20</v>
      </c>
      <c r="E50" s="315"/>
      <c r="F50" s="315"/>
      <c r="G50" s="315"/>
      <c r="H50" s="175"/>
      <c r="I50" s="218"/>
      <c r="J50" s="315"/>
      <c r="K50" s="206"/>
      <c r="L50" s="315"/>
      <c r="M50" s="206"/>
      <c r="N50" s="218"/>
      <c r="O50" s="206"/>
      <c r="P50" s="315"/>
    </row>
    <row r="51" spans="1:16" ht="12.95" customHeight="1" x14ac:dyDescent="0.2">
      <c r="A51" s="333"/>
      <c r="B51" s="398" t="s">
        <v>279</v>
      </c>
      <c r="C51" t="s">
        <v>20</v>
      </c>
      <c r="E51" s="315"/>
      <c r="F51" s="315"/>
      <c r="G51" s="315"/>
      <c r="H51" s="175"/>
      <c r="I51" s="218"/>
      <c r="J51" s="315"/>
      <c r="K51" s="206"/>
      <c r="L51" s="315"/>
      <c r="M51" s="206"/>
      <c r="N51" s="218"/>
      <c r="O51" s="206"/>
      <c r="P51" s="315"/>
    </row>
    <row r="52" spans="1:16" ht="12.95" customHeight="1" x14ac:dyDescent="0.2">
      <c r="A52" s="333"/>
      <c r="B52" s="378" t="s">
        <v>280</v>
      </c>
      <c r="C52" t="s">
        <v>20</v>
      </c>
      <c r="E52" s="315"/>
      <c r="F52" s="315"/>
      <c r="G52" s="315"/>
      <c r="H52" s="175"/>
      <c r="I52" s="218"/>
      <c r="J52" s="315"/>
      <c r="K52" s="206"/>
      <c r="L52" s="315"/>
      <c r="M52" s="206"/>
      <c r="N52" s="218"/>
      <c r="O52" s="206"/>
      <c r="P52" s="315"/>
    </row>
    <row r="53" spans="1:16" ht="12.95" customHeight="1" x14ac:dyDescent="0.2">
      <c r="A53" s="333"/>
      <c r="B53" s="398" t="s">
        <v>281</v>
      </c>
      <c r="C53" t="s">
        <v>20</v>
      </c>
      <c r="E53" s="315"/>
      <c r="F53" s="315"/>
      <c r="G53" s="315"/>
      <c r="H53" s="175"/>
      <c r="I53" s="218"/>
      <c r="J53" s="315"/>
      <c r="K53" s="206"/>
      <c r="L53" s="315"/>
      <c r="M53" s="206"/>
      <c r="N53" s="218"/>
      <c r="O53" s="206"/>
      <c r="P53" s="315"/>
    </row>
    <row r="54" spans="1:16" ht="12.95" customHeight="1" x14ac:dyDescent="0.2">
      <c r="A54" s="333"/>
      <c r="B54" s="398" t="s">
        <v>282</v>
      </c>
      <c r="C54" t="s">
        <v>20</v>
      </c>
      <c r="E54" s="315"/>
      <c r="F54" s="315"/>
      <c r="G54" s="315"/>
      <c r="H54" s="175"/>
      <c r="I54" s="218"/>
      <c r="J54" s="315"/>
      <c r="K54" s="206"/>
      <c r="L54" s="315"/>
      <c r="M54" s="206"/>
      <c r="N54" s="218"/>
      <c r="O54" s="206"/>
      <c r="P54" s="315"/>
    </row>
    <row r="55" spans="1:16" ht="12.95" customHeight="1" x14ac:dyDescent="0.2">
      <c r="A55" s="333"/>
      <c r="B55" s="398" t="s">
        <v>283</v>
      </c>
      <c r="C55" t="s">
        <v>20</v>
      </c>
      <c r="E55" s="315"/>
      <c r="F55" s="315"/>
      <c r="G55" s="315"/>
      <c r="H55" s="175"/>
      <c r="I55" s="218"/>
      <c r="J55" s="315"/>
      <c r="K55" s="206"/>
      <c r="L55" s="315"/>
      <c r="M55" s="206"/>
      <c r="N55" s="218"/>
      <c r="O55" s="206"/>
      <c r="P55" s="315"/>
    </row>
    <row r="56" spans="1:16" ht="12.95" customHeight="1" x14ac:dyDescent="0.2">
      <c r="A56" s="333"/>
      <c r="B56" s="398" t="s">
        <v>284</v>
      </c>
      <c r="C56" t="s">
        <v>20</v>
      </c>
      <c r="E56" s="315"/>
      <c r="F56" s="315"/>
      <c r="G56" s="315"/>
      <c r="H56" s="175"/>
      <c r="I56" s="218"/>
      <c r="J56" s="315"/>
      <c r="K56" s="206"/>
      <c r="L56" s="315"/>
      <c r="M56" s="206"/>
      <c r="N56" s="218"/>
      <c r="O56" s="206"/>
      <c r="P56" s="315"/>
    </row>
    <row r="57" spans="1:16" ht="12.95" customHeight="1" x14ac:dyDescent="0.2">
      <c r="A57" s="333"/>
      <c r="B57" s="398" t="s">
        <v>285</v>
      </c>
      <c r="C57" t="s">
        <v>20</v>
      </c>
      <c r="E57" s="315"/>
      <c r="F57" s="315"/>
      <c r="G57" s="315"/>
      <c r="H57" s="175"/>
      <c r="I57" s="218"/>
      <c r="J57" s="315"/>
      <c r="K57" s="206"/>
      <c r="L57" s="315"/>
      <c r="M57" s="206"/>
      <c r="N57" s="218"/>
      <c r="O57" s="206"/>
      <c r="P57" s="315"/>
    </row>
    <row r="58" spans="1:16" ht="12.95" customHeight="1" x14ac:dyDescent="0.2">
      <c r="A58" s="333"/>
      <c r="B58" s="398" t="s">
        <v>286</v>
      </c>
      <c r="C58" t="s">
        <v>20</v>
      </c>
      <c r="E58" s="315"/>
      <c r="F58" s="315"/>
      <c r="G58" s="315"/>
      <c r="H58" s="175"/>
      <c r="I58" s="218"/>
      <c r="J58" s="315"/>
      <c r="K58" s="206"/>
      <c r="L58" s="315"/>
      <c r="M58" s="206"/>
      <c r="N58" s="218"/>
      <c r="O58" s="206"/>
      <c r="P58" s="315"/>
    </row>
    <row r="59" spans="1:16" ht="12.95" customHeight="1" x14ac:dyDescent="0.2">
      <c r="A59" s="333"/>
      <c r="B59" s="398" t="s">
        <v>287</v>
      </c>
      <c r="C59" t="s">
        <v>20</v>
      </c>
      <c r="E59" s="315"/>
      <c r="F59" s="315"/>
      <c r="G59" s="315"/>
      <c r="H59" s="175"/>
      <c r="I59" s="218"/>
      <c r="J59" s="315"/>
      <c r="K59" s="206"/>
      <c r="L59" s="315"/>
      <c r="M59" s="206"/>
      <c r="N59" s="218"/>
      <c r="O59" s="206"/>
      <c r="P59" s="315"/>
    </row>
    <row r="60" spans="1:16" ht="12.95" customHeight="1" x14ac:dyDescent="0.2">
      <c r="A60" s="333"/>
      <c r="B60" s="398" t="s">
        <v>288</v>
      </c>
      <c r="C60" t="s">
        <v>20</v>
      </c>
      <c r="E60" s="315"/>
      <c r="F60" s="315"/>
      <c r="G60" s="315"/>
      <c r="H60" s="175"/>
      <c r="I60" s="218"/>
      <c r="J60" s="315"/>
      <c r="K60" s="206"/>
      <c r="L60" s="315"/>
      <c r="M60" s="206"/>
      <c r="N60" s="218"/>
      <c r="O60" s="206"/>
      <c r="P60" s="315"/>
    </row>
    <row r="61" spans="1:16" ht="12.95" customHeight="1" x14ac:dyDescent="0.2">
      <c r="A61" s="333"/>
      <c r="B61" s="378" t="s">
        <v>289</v>
      </c>
      <c r="C61" t="s">
        <v>20</v>
      </c>
      <c r="E61" s="315"/>
      <c r="F61" s="315"/>
      <c r="G61" s="315"/>
      <c r="H61" s="175"/>
      <c r="I61" s="218"/>
      <c r="J61" s="315"/>
      <c r="K61" s="206"/>
      <c r="L61" s="315"/>
      <c r="M61" s="206"/>
      <c r="N61" s="218"/>
      <c r="O61" s="206"/>
      <c r="P61" s="315"/>
    </row>
    <row r="62" spans="1:16" ht="12.95" customHeight="1" x14ac:dyDescent="0.2">
      <c r="A62" s="333"/>
      <c r="B62" s="378" t="s">
        <v>290</v>
      </c>
      <c r="C62" t="s">
        <v>20</v>
      </c>
      <c r="E62" s="315"/>
      <c r="F62" s="315"/>
      <c r="G62" s="315"/>
      <c r="H62" s="175"/>
      <c r="I62" s="218"/>
      <c r="J62" s="315"/>
      <c r="K62" s="206"/>
      <c r="L62" s="315"/>
      <c r="M62" s="206"/>
      <c r="N62" s="218"/>
      <c r="O62" s="206"/>
      <c r="P62" s="315"/>
    </row>
    <row r="63" spans="1:16" ht="12.95" customHeight="1" x14ac:dyDescent="0.2">
      <c r="A63" s="333"/>
      <c r="B63" s="378" t="s">
        <v>291</v>
      </c>
      <c r="C63" t="s">
        <v>20</v>
      </c>
      <c r="E63" s="315"/>
      <c r="F63" s="315"/>
      <c r="G63" s="315"/>
      <c r="H63" s="175"/>
      <c r="I63" s="218"/>
      <c r="J63" s="315"/>
      <c r="K63" s="206"/>
      <c r="L63" s="315"/>
      <c r="M63" s="206"/>
      <c r="N63" s="218"/>
      <c r="O63" s="206"/>
      <c r="P63" s="315"/>
    </row>
    <row r="64" spans="1:16" ht="12.95" customHeight="1" x14ac:dyDescent="0.2">
      <c r="A64" s="333"/>
      <c r="B64" s="378" t="s">
        <v>292</v>
      </c>
      <c r="C64" t="s">
        <v>20</v>
      </c>
      <c r="E64" s="315"/>
      <c r="F64" s="315"/>
      <c r="G64" s="315"/>
      <c r="H64" s="175"/>
      <c r="I64" s="218"/>
      <c r="J64" s="315"/>
      <c r="K64" s="206"/>
      <c r="L64" s="315"/>
      <c r="M64" s="206"/>
      <c r="N64" s="218"/>
      <c r="O64" s="206"/>
      <c r="P64" s="315"/>
    </row>
    <row r="65" spans="1:16" ht="12.95" customHeight="1" x14ac:dyDescent="0.2">
      <c r="A65" s="333"/>
      <c r="B65" s="378" t="s">
        <v>293</v>
      </c>
      <c r="C65" s="63"/>
      <c r="E65" s="315"/>
      <c r="F65" s="315"/>
      <c r="G65" s="315"/>
      <c r="H65" s="175"/>
      <c r="I65" s="218"/>
      <c r="J65" s="315"/>
      <c r="K65" s="206"/>
      <c r="L65" s="315"/>
      <c r="M65" s="206"/>
      <c r="N65" s="218"/>
      <c r="O65" s="206"/>
      <c r="P65" s="315"/>
    </row>
    <row r="66" spans="1:16" ht="12.95" customHeight="1" x14ac:dyDescent="0.2">
      <c r="A66" s="333"/>
      <c r="B66" s="378" t="s">
        <v>294</v>
      </c>
      <c r="C66" s="63"/>
      <c r="E66" s="315"/>
      <c r="F66" s="315"/>
      <c r="G66" s="315"/>
      <c r="H66" s="175"/>
      <c r="I66" s="218"/>
      <c r="J66" s="315"/>
      <c r="K66" s="206"/>
      <c r="L66" s="315"/>
      <c r="M66" s="206"/>
      <c r="N66" s="218"/>
      <c r="O66" s="206"/>
      <c r="P66" s="315"/>
    </row>
    <row r="67" spans="1:16" ht="13.5" customHeight="1" x14ac:dyDescent="0.2">
      <c r="A67" s="333"/>
      <c r="B67" s="95" t="s">
        <v>295</v>
      </c>
      <c r="C67" s="63"/>
      <c r="E67" s="315"/>
      <c r="F67" s="315"/>
      <c r="G67" s="315"/>
      <c r="H67" s="175"/>
      <c r="I67" s="218"/>
      <c r="J67" s="315"/>
      <c r="K67" s="206"/>
      <c r="L67" s="315"/>
      <c r="M67" s="206"/>
      <c r="N67" s="218"/>
      <c r="O67" s="206"/>
      <c r="P67" s="315"/>
    </row>
    <row r="68" spans="1:16" ht="12.95" customHeight="1" x14ac:dyDescent="0.2">
      <c r="A68" s="333"/>
      <c r="B68" s="336" t="s">
        <v>296</v>
      </c>
      <c r="C68" t="s">
        <v>20</v>
      </c>
      <c r="E68" s="315"/>
      <c r="F68" s="315"/>
      <c r="G68" s="315"/>
      <c r="H68" s="175"/>
      <c r="I68" s="218"/>
      <c r="J68" s="315"/>
      <c r="K68" s="206"/>
      <c r="L68" s="315"/>
      <c r="M68" s="206"/>
      <c r="N68" s="218"/>
      <c r="O68" s="206"/>
      <c r="P68" s="315"/>
    </row>
    <row r="69" spans="1:16" ht="12.95" customHeight="1" x14ac:dyDescent="0.2">
      <c r="A69" s="333"/>
      <c r="B69" s="336" t="s">
        <v>297</v>
      </c>
      <c r="C69" t="s">
        <v>20</v>
      </c>
      <c r="E69" s="315"/>
      <c r="F69" s="315"/>
      <c r="G69" s="315"/>
      <c r="H69" s="175"/>
      <c r="I69" s="218"/>
      <c r="J69" s="315"/>
      <c r="K69" s="206"/>
      <c r="L69" s="315"/>
      <c r="M69" s="206"/>
      <c r="N69" s="218"/>
      <c r="O69" s="206"/>
      <c r="P69" s="315"/>
    </row>
    <row r="70" spans="1:16" ht="12.95" customHeight="1" x14ac:dyDescent="0.2">
      <c r="A70" s="333"/>
      <c r="B70" s="336" t="s">
        <v>298</v>
      </c>
      <c r="C70" t="s">
        <v>20</v>
      </c>
      <c r="E70" s="315"/>
      <c r="F70" s="315"/>
      <c r="G70" s="315"/>
      <c r="H70" s="175"/>
      <c r="I70" s="218"/>
      <c r="J70" s="315"/>
      <c r="K70" s="206"/>
      <c r="L70" s="315"/>
      <c r="M70" s="206"/>
      <c r="N70" s="218"/>
      <c r="O70" s="206"/>
      <c r="P70" s="315"/>
    </row>
    <row r="71" spans="1:16" ht="12.95" customHeight="1" x14ac:dyDescent="0.2">
      <c r="A71" s="333"/>
      <c r="B71" s="378" t="s">
        <v>299</v>
      </c>
      <c r="C71" t="s">
        <v>20</v>
      </c>
      <c r="E71" s="315"/>
      <c r="F71" s="315"/>
      <c r="G71" s="315"/>
      <c r="H71" s="175"/>
      <c r="I71" s="218"/>
      <c r="J71" s="315"/>
      <c r="K71" s="206"/>
      <c r="L71" s="315"/>
      <c r="M71" s="206"/>
      <c r="N71" s="218"/>
      <c r="O71" s="206"/>
      <c r="P71" s="315"/>
    </row>
    <row r="72" spans="1:16" ht="12.95" customHeight="1" x14ac:dyDescent="0.2">
      <c r="A72" s="333"/>
      <c r="B72" s="95" t="s">
        <v>300</v>
      </c>
      <c r="C72" t="s">
        <v>20</v>
      </c>
      <c r="E72" s="315"/>
      <c r="F72" s="315"/>
      <c r="G72" s="315"/>
      <c r="H72" s="175"/>
      <c r="I72" s="218"/>
      <c r="J72" s="315"/>
      <c r="K72" s="206"/>
      <c r="L72" s="315"/>
      <c r="M72" s="206"/>
      <c r="N72" s="218"/>
      <c r="O72" s="206"/>
      <c r="P72" s="315"/>
    </row>
    <row r="73" spans="1:16" ht="12.95" customHeight="1" x14ac:dyDescent="0.2">
      <c r="A73" s="333"/>
      <c r="B73" s="95" t="s">
        <v>301</v>
      </c>
      <c r="C73" s="63"/>
      <c r="E73" s="315"/>
      <c r="F73" s="315"/>
      <c r="G73" s="315"/>
      <c r="H73" s="175"/>
      <c r="I73" s="218"/>
      <c r="J73" s="315"/>
      <c r="K73" s="206"/>
      <c r="L73" s="315"/>
      <c r="M73" s="206"/>
      <c r="N73" s="218"/>
      <c r="O73" s="206"/>
      <c r="P73" s="315"/>
    </row>
    <row r="74" spans="1:16" ht="12.95" customHeight="1" x14ac:dyDescent="0.2">
      <c r="A74" s="333"/>
      <c r="B74" s="95" t="s">
        <v>302</v>
      </c>
      <c r="C74" t="s">
        <v>20</v>
      </c>
      <c r="E74" s="315"/>
      <c r="F74" s="315"/>
      <c r="G74" s="315"/>
      <c r="H74" s="175"/>
      <c r="I74" s="218"/>
      <c r="J74" s="315"/>
      <c r="K74" s="206"/>
      <c r="L74" s="315"/>
      <c r="M74" s="206"/>
      <c r="N74" s="218"/>
      <c r="O74" s="206"/>
      <c r="P74" s="315"/>
    </row>
    <row r="75" spans="1:16" ht="12.95" customHeight="1" x14ac:dyDescent="0.2">
      <c r="A75" s="333"/>
      <c r="B75" s="95" t="s">
        <v>303</v>
      </c>
      <c r="C75" t="s">
        <v>20</v>
      </c>
      <c r="E75" s="315"/>
      <c r="F75" s="315"/>
      <c r="G75" s="315"/>
      <c r="H75" s="175"/>
      <c r="I75" s="218"/>
      <c r="J75" s="315"/>
      <c r="K75" s="206"/>
      <c r="L75" s="315"/>
      <c r="M75" s="206"/>
      <c r="N75" s="218"/>
      <c r="O75" s="206"/>
      <c r="P75" s="315"/>
    </row>
    <row r="76" spans="1:16" ht="12.95" customHeight="1" x14ac:dyDescent="0.2">
      <c r="A76" s="333"/>
      <c r="B76" s="95" t="s">
        <v>304</v>
      </c>
      <c r="C76" t="s">
        <v>20</v>
      </c>
      <c r="E76" s="315"/>
      <c r="F76" s="315"/>
      <c r="G76" s="315"/>
      <c r="H76" s="175"/>
      <c r="I76" s="218"/>
      <c r="J76" s="315"/>
      <c r="K76" s="206"/>
      <c r="L76" s="315"/>
      <c r="M76" s="206"/>
      <c r="N76" s="218"/>
      <c r="O76" s="206"/>
      <c r="P76" s="315"/>
    </row>
    <row r="77" spans="1:16" ht="12.95" customHeight="1" x14ac:dyDescent="0.2">
      <c r="A77" s="333"/>
      <c r="B77" s="95" t="s">
        <v>305</v>
      </c>
      <c r="C77" t="s">
        <v>20</v>
      </c>
      <c r="E77" s="315"/>
      <c r="F77" s="315"/>
      <c r="G77" s="315"/>
      <c r="H77" s="175"/>
      <c r="I77" s="218"/>
      <c r="J77" s="315"/>
      <c r="K77" s="206"/>
      <c r="L77" s="315"/>
      <c r="M77" s="206"/>
      <c r="N77" s="218"/>
      <c r="O77" s="206"/>
      <c r="P77" s="315"/>
    </row>
    <row r="78" spans="1:16" ht="12.95" customHeight="1" x14ac:dyDescent="0.2">
      <c r="A78" s="333"/>
      <c r="B78" s="95" t="s">
        <v>306</v>
      </c>
      <c r="C78" t="s">
        <v>20</v>
      </c>
      <c r="E78" s="315"/>
      <c r="F78" s="315"/>
      <c r="G78" s="315"/>
      <c r="H78" s="175"/>
      <c r="I78" s="218"/>
      <c r="J78" s="315"/>
      <c r="K78" s="206"/>
      <c r="L78" s="315"/>
      <c r="M78" s="206"/>
      <c r="N78" s="218"/>
      <c r="O78" s="206"/>
      <c r="P78" s="315"/>
    </row>
    <row r="79" spans="1:16" ht="12.95" customHeight="1" x14ac:dyDescent="0.2">
      <c r="A79" s="333"/>
      <c r="B79" s="95" t="s">
        <v>307</v>
      </c>
      <c r="C79" t="s">
        <v>20</v>
      </c>
      <c r="E79" s="315"/>
      <c r="F79" s="315"/>
      <c r="G79" s="315"/>
      <c r="H79" s="175"/>
      <c r="I79" s="218"/>
      <c r="J79" s="315"/>
      <c r="K79" s="206"/>
      <c r="L79" s="315"/>
      <c r="M79" s="206"/>
      <c r="N79" s="218"/>
      <c r="O79" s="206"/>
      <c r="P79" s="315"/>
    </row>
    <row r="80" spans="1:16" ht="12.95" customHeight="1" x14ac:dyDescent="0.2">
      <c r="A80" s="333"/>
      <c r="B80" s="95" t="s">
        <v>308</v>
      </c>
      <c r="C80" t="s">
        <v>20</v>
      </c>
      <c r="E80" s="315"/>
      <c r="F80" s="315"/>
      <c r="G80" s="315"/>
      <c r="H80" s="175"/>
      <c r="I80" s="218"/>
      <c r="J80" s="315"/>
      <c r="K80" s="206"/>
      <c r="L80" s="315"/>
      <c r="M80" s="206"/>
      <c r="N80" s="218"/>
      <c r="O80" s="206"/>
      <c r="P80" s="315"/>
    </row>
    <row r="81" spans="1:17" ht="12.95" customHeight="1" x14ac:dyDescent="0.2">
      <c r="A81" s="333"/>
      <c r="B81" s="95" t="s">
        <v>309</v>
      </c>
      <c r="C81" t="s">
        <v>20</v>
      </c>
      <c r="E81" s="315"/>
      <c r="F81" s="315"/>
      <c r="G81" s="315"/>
      <c r="H81" s="175"/>
      <c r="I81" s="218"/>
      <c r="J81" s="315"/>
      <c r="K81" s="206"/>
      <c r="L81" s="315"/>
      <c r="M81" s="206"/>
      <c r="N81" s="218"/>
      <c r="O81" s="206"/>
      <c r="P81" s="315"/>
    </row>
    <row r="82" spans="1:17" ht="12.95" customHeight="1" x14ac:dyDescent="0.2">
      <c r="A82" s="333"/>
      <c r="B82" s="95" t="s">
        <v>310</v>
      </c>
      <c r="C82" t="s">
        <v>20</v>
      </c>
      <c r="E82" s="315"/>
      <c r="F82" s="315"/>
      <c r="G82" s="315"/>
      <c r="H82" s="175"/>
      <c r="I82" s="218"/>
      <c r="J82" s="315"/>
      <c r="K82" s="206"/>
      <c r="L82" s="315"/>
      <c r="M82" s="206"/>
      <c r="N82" s="218"/>
      <c r="O82" s="206"/>
      <c r="P82" s="315"/>
    </row>
    <row r="83" spans="1:17" ht="12.95" customHeight="1" x14ac:dyDescent="0.2">
      <c r="A83" s="334"/>
      <c r="B83" s="95" t="s">
        <v>311</v>
      </c>
      <c r="C83" t="s">
        <v>20</v>
      </c>
      <c r="E83" s="315"/>
      <c r="F83" s="315"/>
      <c r="G83" s="315"/>
      <c r="H83" s="175"/>
      <c r="I83" s="218"/>
      <c r="J83" s="315"/>
      <c r="K83" s="206"/>
      <c r="L83" s="315"/>
      <c r="M83" s="206"/>
      <c r="N83" s="218"/>
      <c r="O83" s="206"/>
      <c r="P83" s="315"/>
    </row>
    <row r="84" spans="1:17" ht="15.75" customHeight="1" x14ac:dyDescent="0.25">
      <c r="B84" s="306" t="s">
        <v>33</v>
      </c>
      <c r="C84" s="94"/>
      <c r="D84" s="73">
        <f>SUM(D44:D83)</f>
        <v>0</v>
      </c>
      <c r="E84" s="73">
        <f>SUM(E44:E83)</f>
        <v>0</v>
      </c>
      <c r="F84" s="73">
        <f>SUM(F44:F83)</f>
        <v>0</v>
      </c>
      <c r="G84" s="62">
        <f>SUM(G5:G67)</f>
        <v>0</v>
      </c>
      <c r="H84" s="62">
        <f>SUM(H5:H67)</f>
        <v>0</v>
      </c>
      <c r="I84" s="305"/>
      <c r="J84" s="73">
        <f>SUM(J44:J83)</f>
        <v>0</v>
      </c>
      <c r="K84" s="73">
        <f>SUM(K44:K72)</f>
        <v>0</v>
      </c>
      <c r="L84" s="73">
        <f>SUM(L44:L83)</f>
        <v>0</v>
      </c>
      <c r="M84" s="62">
        <f>SUM(M5:M67)</f>
        <v>0</v>
      </c>
      <c r="N84" s="305"/>
      <c r="O84" s="73">
        <f>SUM(O44:O83)</f>
        <v>0</v>
      </c>
      <c r="P84" s="307"/>
      <c r="Q84" s="63"/>
    </row>
    <row r="85" spans="1:17" ht="12.95" customHeight="1" x14ac:dyDescent="0.2">
      <c r="C85" t="s">
        <v>20</v>
      </c>
      <c r="I85" s="236"/>
      <c r="N85" s="236"/>
    </row>
    <row r="86" spans="1:17" ht="12.95" customHeight="1" x14ac:dyDescent="0.2">
      <c r="C86" t="s">
        <v>20</v>
      </c>
      <c r="D86" s="23"/>
      <c r="E86" s="23"/>
      <c r="F86" s="23"/>
      <c r="J86" s="70"/>
      <c r="K86" s="70"/>
      <c r="L86" s="70"/>
      <c r="N86" s="236"/>
    </row>
    <row r="87" spans="1:17" ht="12.95" customHeight="1" x14ac:dyDescent="0.25">
      <c r="B87" s="74" t="s">
        <v>54</v>
      </c>
      <c r="D87" s="39">
        <f>SUM(D41,D84)</f>
        <v>0</v>
      </c>
      <c r="E87" s="39">
        <f>SUM(E41,E84)</f>
        <v>0</v>
      </c>
      <c r="F87" s="39">
        <f>SUM(F41,F84)</f>
        <v>0</v>
      </c>
      <c r="J87" s="39">
        <f>SUM(J41,J84)</f>
        <v>0</v>
      </c>
      <c r="K87" s="39">
        <f>SUM(K41,K84)</f>
        <v>0</v>
      </c>
      <c r="L87" s="39">
        <f>SUM(L41,L84)</f>
        <v>0</v>
      </c>
      <c r="N87" s="17"/>
      <c r="O87" s="39">
        <f>SUM(O41,O84)</f>
        <v>0</v>
      </c>
    </row>
    <row r="88" spans="1:17" ht="12.75" x14ac:dyDescent="0.2">
      <c r="C88" t="s">
        <v>20</v>
      </c>
    </row>
    <row r="89" spans="1:17" ht="12.75" x14ac:dyDescent="0.2">
      <c r="C89" t="s">
        <v>20</v>
      </c>
    </row>
    <row r="90" spans="1:17" ht="12.75" x14ac:dyDescent="0.2">
      <c r="C90" t="s">
        <v>20</v>
      </c>
    </row>
    <row r="91" spans="1:17" ht="12.75" x14ac:dyDescent="0.2">
      <c r="C91" t="s">
        <v>20</v>
      </c>
    </row>
    <row r="92" spans="1:17" ht="12.75" x14ac:dyDescent="0.2">
      <c r="C92" t="s">
        <v>20</v>
      </c>
    </row>
    <row r="93" spans="1:17" ht="12.75" x14ac:dyDescent="0.2">
      <c r="C93" t="s">
        <v>20</v>
      </c>
    </row>
    <row r="94" spans="1:17" ht="12.75" x14ac:dyDescent="0.2">
      <c r="C94" t="s">
        <v>20</v>
      </c>
    </row>
    <row r="95" spans="1:17" ht="12.75" x14ac:dyDescent="0.2">
      <c r="C95" t="s">
        <v>20</v>
      </c>
    </row>
    <row r="96" spans="1:17" ht="12.75" x14ac:dyDescent="0.2">
      <c r="C96" t="s">
        <v>20</v>
      </c>
    </row>
    <row r="97" spans="3:3" ht="12.75" x14ac:dyDescent="0.2">
      <c r="C97" t="s">
        <v>20</v>
      </c>
    </row>
    <row r="98" spans="3:3" ht="12.75" x14ac:dyDescent="0.2">
      <c r="C98" t="s">
        <v>20</v>
      </c>
    </row>
    <row r="99" spans="3:3" ht="12.75" x14ac:dyDescent="0.2">
      <c r="C99" t="s">
        <v>20</v>
      </c>
    </row>
    <row r="100" spans="3:3" ht="12.75" x14ac:dyDescent="0.2">
      <c r="C100" t="s">
        <v>20</v>
      </c>
    </row>
    <row r="101" spans="3:3" ht="12.75" x14ac:dyDescent="0.2">
      <c r="C101" t="s">
        <v>20</v>
      </c>
    </row>
  </sheetData>
  <mergeCells count="7">
    <mergeCell ref="A3:A4"/>
    <mergeCell ref="B1:P2"/>
    <mergeCell ref="B3:B4"/>
    <mergeCell ref="E3:I3"/>
    <mergeCell ref="J3:N3"/>
    <mergeCell ref="O3:O4"/>
    <mergeCell ref="P3:P4"/>
  </mergeCells>
  <conditionalFormatting sqref="E5:E40 J5:J40 E42:E83 J42:J83 N5:N83">
    <cfRule type="cellIs" dxfId="6" priority="1" stopIfTrue="1" operator="greaterThan">
      <formula>0</formula>
    </cfRule>
  </conditionalFormatting>
  <printOptions horizontalCentered="1" verticalCentered="1"/>
  <pageMargins left="0.17986111111111111" right="0.17986111111111111" top="0.98402777777777772" bottom="0.98402777777777772" header="0.51180555555555551" footer="0.51180555555555551"/>
  <pageSetup paperSize="9" scale="62" firstPageNumber="0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10A35-D379-4975-BF20-E841D07D8403}">
  <sheetPr codeName="Feuil6">
    <pageSetUpPr fitToPage="1"/>
  </sheetPr>
  <dimension ref="A1:L6"/>
  <sheetViews>
    <sheetView tabSelected="1" zoomScale="85" zoomScaleNormal="100" workbookViewId="0">
      <selection activeCell="A3" sqref="A3:A4"/>
    </sheetView>
  </sheetViews>
  <sheetFormatPr defaultRowHeight="12.95" customHeight="1" x14ac:dyDescent="0.2"/>
  <cols>
    <col min="1" max="1" width="33.140625" bestFit="1" customWidth="1"/>
    <col min="2" max="3" width="16" bestFit="1" customWidth="1"/>
    <col min="4" max="4" width="9.140625" bestFit="1" customWidth="1"/>
    <col min="5" max="5" width="13" bestFit="1" customWidth="1"/>
    <col min="6" max="6" width="9.42578125" bestFit="1" customWidth="1"/>
    <col min="7" max="9" width="16" bestFit="1" customWidth="1"/>
    <col min="10" max="10" width="12.85546875" bestFit="1" customWidth="1"/>
    <col min="11" max="11" width="14.140625" bestFit="1" customWidth="1"/>
    <col min="12" max="256" width="9.140625" bestFit="1" customWidth="1"/>
  </cols>
  <sheetData>
    <row r="1" spans="1:12" ht="12.95" customHeight="1" x14ac:dyDescent="0.2">
      <c r="A1" s="339" t="s">
        <v>461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63"/>
    </row>
    <row r="2" spans="1:12" ht="12.95" customHeight="1" x14ac:dyDescent="0.2">
      <c r="A2" s="343"/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63"/>
    </row>
    <row r="3" spans="1:12" ht="20.100000000000001" customHeight="1" x14ac:dyDescent="0.2">
      <c r="A3" s="349" t="s">
        <v>312</v>
      </c>
      <c r="B3" s="350" t="s">
        <v>206</v>
      </c>
      <c r="C3" s="350"/>
      <c r="D3" s="345" t="s">
        <v>313</v>
      </c>
      <c r="E3" s="345"/>
      <c r="F3" s="345"/>
      <c r="G3" s="350" t="s">
        <v>58</v>
      </c>
      <c r="H3" s="350"/>
      <c r="I3" s="350"/>
      <c r="J3" s="351" t="s">
        <v>314</v>
      </c>
      <c r="K3" s="351"/>
    </row>
    <row r="4" spans="1:12" ht="20.25" customHeight="1" thickBot="1" x14ac:dyDescent="0.25">
      <c r="A4" s="349"/>
      <c r="B4" s="79" t="s">
        <v>62</v>
      </c>
      <c r="C4" s="79" t="s">
        <v>315</v>
      </c>
      <c r="D4" s="46" t="s">
        <v>316</v>
      </c>
      <c r="E4" s="46" t="s">
        <v>317</v>
      </c>
      <c r="F4" s="46" t="s">
        <v>318</v>
      </c>
      <c r="G4" s="80" t="s">
        <v>208</v>
      </c>
      <c r="H4" s="79" t="s">
        <v>319</v>
      </c>
      <c r="I4" s="79" t="s">
        <v>320</v>
      </c>
      <c r="J4" s="81" t="s">
        <v>317</v>
      </c>
      <c r="K4" s="46" t="s">
        <v>318</v>
      </c>
    </row>
    <row r="5" spans="1:12" ht="13.5" customHeight="1" thickBot="1" x14ac:dyDescent="0.25">
      <c r="A5" s="82" t="s">
        <v>321</v>
      </c>
      <c r="B5" s="100"/>
      <c r="C5" s="328"/>
      <c r="D5" s="329"/>
      <c r="E5" s="330"/>
      <c r="F5" s="101"/>
      <c r="G5" s="102"/>
      <c r="H5" s="330"/>
      <c r="I5" s="101"/>
      <c r="J5" s="329"/>
      <c r="K5" s="331"/>
    </row>
    <row r="6" spans="1:12" ht="13.5" customHeight="1" x14ac:dyDescent="0.2">
      <c r="A6" s="83" t="s">
        <v>33</v>
      </c>
      <c r="B6" s="347">
        <f>B5+C5</f>
        <v>0</v>
      </c>
      <c r="C6" s="347"/>
      <c r="D6" s="348">
        <f>D5+E5+F5</f>
        <v>0</v>
      </c>
      <c r="E6" s="348"/>
      <c r="F6" s="348"/>
      <c r="G6" s="347">
        <f>G5+H5+I5</f>
        <v>0</v>
      </c>
      <c r="H6" s="347"/>
      <c r="I6" s="347"/>
      <c r="J6" s="348">
        <f>J5+K5</f>
        <v>0</v>
      </c>
      <c r="K6" s="348"/>
    </row>
  </sheetData>
  <mergeCells count="10">
    <mergeCell ref="B6:C6"/>
    <mergeCell ref="D6:F6"/>
    <mergeCell ref="G6:I6"/>
    <mergeCell ref="J6:K6"/>
    <mergeCell ref="A1:K2"/>
    <mergeCell ref="A3:A4"/>
    <mergeCell ref="B3:C3"/>
    <mergeCell ref="D3:F3"/>
    <mergeCell ref="G3:I3"/>
    <mergeCell ref="J3:K3"/>
  </mergeCells>
  <dataValidations count="1">
    <dataValidation allowBlank="1" showErrorMessage="1" sqref="B5:C5" xr:uid="{A1B177B3-80E6-4184-A417-C9FF01B88053}">
      <formula1>0</formula1>
      <formula2>0</formula2>
    </dataValidation>
  </dataValidations>
  <printOptions horizontalCentered="1" verticalCentered="1"/>
  <pageMargins left="0.17986111111111111" right="0.17986111111111111" top="0.98402777777777772" bottom="0.98402777777777772" header="0.51180555555555551" footer="0.51180555555555551"/>
  <pageSetup paperSize="9" scale="85" firstPageNumber="0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A89F7-72A6-4F6A-814A-E8850C057855}">
  <sheetPr codeName="Feuil9">
    <pageSetUpPr fitToPage="1"/>
  </sheetPr>
  <dimension ref="A1:O24"/>
  <sheetViews>
    <sheetView zoomScale="85" zoomScaleNormal="100" workbookViewId="0">
      <selection sqref="A1:O2"/>
    </sheetView>
  </sheetViews>
  <sheetFormatPr defaultRowHeight="12.75" x14ac:dyDescent="0.2"/>
  <cols>
    <col min="1" max="1" width="50.7109375" bestFit="1" customWidth="1"/>
    <col min="2" max="2" width="0" hidden="1" bestFit="1" customWidth="1"/>
    <col min="3" max="3" width="10.140625" style="1" bestFit="1" customWidth="1"/>
    <col min="4" max="4" width="8.5703125" style="1" bestFit="1" customWidth="1"/>
    <col min="5" max="5" width="12" style="1" bestFit="1" customWidth="1"/>
    <col min="6" max="6" width="5" style="1" bestFit="1" customWidth="1"/>
    <col min="7" max="7" width="8.85546875" style="1" bestFit="1" customWidth="1"/>
    <col min="8" max="8" width="9.140625" style="1" bestFit="1" customWidth="1"/>
    <col min="9" max="9" width="12" style="1" bestFit="1" customWidth="1"/>
    <col min="10" max="10" width="24.140625" style="1" bestFit="1" customWidth="1"/>
    <col min="11" max="12" width="12" style="1" bestFit="1" customWidth="1"/>
    <col min="13" max="13" width="24.140625" style="1" bestFit="1" customWidth="1"/>
    <col min="14" max="14" width="14.7109375" style="1" bestFit="1" customWidth="1"/>
    <col min="15" max="256" width="9.140625" bestFit="1" customWidth="1"/>
  </cols>
  <sheetData>
    <row r="1" spans="1:15" x14ac:dyDescent="0.2">
      <c r="A1" s="352" t="s">
        <v>322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</row>
    <row r="2" spans="1:15" x14ac:dyDescent="0.2">
      <c r="A2" s="340"/>
      <c r="B2" s="340"/>
      <c r="C2" s="340"/>
      <c r="D2" s="340"/>
      <c r="E2" s="340"/>
      <c r="F2" s="340"/>
      <c r="G2" s="340"/>
      <c r="H2" s="340"/>
      <c r="I2" s="340"/>
      <c r="J2" s="340"/>
      <c r="K2" s="340"/>
      <c r="L2" s="340"/>
      <c r="M2" s="340"/>
      <c r="N2" s="340"/>
      <c r="O2" s="340"/>
    </row>
    <row r="3" spans="1:15" ht="20.25" x14ac:dyDescent="0.2">
      <c r="A3" s="4"/>
      <c r="B3" s="353" t="s">
        <v>1</v>
      </c>
      <c r="C3" s="353"/>
      <c r="D3" s="353"/>
      <c r="E3" s="353"/>
      <c r="F3" s="353"/>
      <c r="G3" s="353"/>
      <c r="H3" s="353"/>
      <c r="I3" s="353"/>
      <c r="J3" s="353"/>
      <c r="K3" s="354" t="s">
        <v>2</v>
      </c>
      <c r="L3" s="354"/>
      <c r="M3" s="354"/>
      <c r="N3" s="6" t="s">
        <v>4</v>
      </c>
    </row>
    <row r="4" spans="1:15" ht="47.25" x14ac:dyDescent="0.2">
      <c r="A4" s="7" t="s">
        <v>323</v>
      </c>
      <c r="B4" s="8" t="s">
        <v>6</v>
      </c>
      <c r="C4" s="9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10" t="s">
        <v>14</v>
      </c>
      <c r="K4" s="11" t="s">
        <v>15</v>
      </c>
      <c r="L4" s="12" t="s">
        <v>16</v>
      </c>
      <c r="M4" s="13" t="s">
        <v>14</v>
      </c>
      <c r="N4" s="14" t="s">
        <v>18</v>
      </c>
      <c r="O4" s="15"/>
    </row>
    <row r="5" spans="1:15" x14ac:dyDescent="0.2">
      <c r="A5" s="16" t="s">
        <v>324</v>
      </c>
      <c r="B5" s="316" t="s">
        <v>20</v>
      </c>
      <c r="C5" s="316">
        <v>4265</v>
      </c>
      <c r="D5" s="316">
        <v>3</v>
      </c>
      <c r="E5" s="316">
        <v>3464</v>
      </c>
      <c r="F5" s="316">
        <v>0</v>
      </c>
      <c r="G5" s="316">
        <v>64</v>
      </c>
      <c r="H5" s="316">
        <v>313</v>
      </c>
      <c r="I5" s="316">
        <v>6758</v>
      </c>
      <c r="J5" s="168"/>
      <c r="K5" s="316">
        <v>3464</v>
      </c>
      <c r="L5" s="316">
        <v>0</v>
      </c>
      <c r="M5" s="169"/>
      <c r="N5" s="20">
        <f t="shared" ref="N5:N10" si="0">K5-E5</f>
        <v>0</v>
      </c>
    </row>
    <row r="6" spans="1:15" x14ac:dyDescent="0.2">
      <c r="A6" s="17" t="s">
        <v>325</v>
      </c>
      <c r="B6" s="315" t="s">
        <v>20</v>
      </c>
      <c r="C6" s="315">
        <v>521</v>
      </c>
      <c r="D6" s="315">
        <v>0</v>
      </c>
      <c r="E6" s="315">
        <v>1871</v>
      </c>
      <c r="F6" s="315">
        <v>0</v>
      </c>
      <c r="G6" s="315">
        <v>0</v>
      </c>
      <c r="H6" s="315">
        <v>179</v>
      </c>
      <c r="I6" s="315">
        <v>2162</v>
      </c>
      <c r="J6" s="168"/>
      <c r="K6" s="315">
        <v>1871</v>
      </c>
      <c r="L6" s="315">
        <v>0</v>
      </c>
      <c r="M6" s="170"/>
      <c r="N6" s="21">
        <f t="shared" si="0"/>
        <v>0</v>
      </c>
    </row>
    <row r="7" spans="1:15" x14ac:dyDescent="0.2">
      <c r="A7" s="17" t="s">
        <v>326</v>
      </c>
      <c r="B7" s="33"/>
      <c r="C7" s="190"/>
      <c r="D7" s="191"/>
      <c r="E7" s="190"/>
      <c r="F7" s="192"/>
      <c r="G7" s="190"/>
      <c r="H7" s="192"/>
      <c r="I7" s="190"/>
      <c r="J7" s="168"/>
      <c r="K7" s="193"/>
      <c r="L7" s="194"/>
      <c r="M7" s="170"/>
      <c r="N7" s="21">
        <f t="shared" si="0"/>
        <v>0</v>
      </c>
    </row>
    <row r="8" spans="1:15" x14ac:dyDescent="0.2">
      <c r="A8" s="17" t="s">
        <v>327</v>
      </c>
      <c r="B8" s="315" t="s">
        <v>20</v>
      </c>
      <c r="C8" s="315">
        <v>81</v>
      </c>
      <c r="D8" s="315">
        <v>1</v>
      </c>
      <c r="E8" s="315">
        <v>210</v>
      </c>
      <c r="F8" s="315">
        <v>0</v>
      </c>
      <c r="G8" s="315">
        <v>0</v>
      </c>
      <c r="H8" s="315">
        <v>9</v>
      </c>
      <c r="I8" s="315">
        <v>230</v>
      </c>
      <c r="J8" s="168"/>
      <c r="K8" s="315">
        <v>210</v>
      </c>
      <c r="L8" s="315">
        <v>0</v>
      </c>
      <c r="M8" s="170"/>
      <c r="N8" s="21">
        <f t="shared" si="0"/>
        <v>0</v>
      </c>
    </row>
    <row r="9" spans="1:15" x14ac:dyDescent="0.2">
      <c r="A9" s="17" t="s">
        <v>328</v>
      </c>
      <c r="B9" s="315" t="s">
        <v>20</v>
      </c>
      <c r="C9" s="315">
        <v>0</v>
      </c>
      <c r="D9" s="315">
        <v>0</v>
      </c>
      <c r="E9" s="315">
        <v>0</v>
      </c>
      <c r="F9" s="315">
        <v>0</v>
      </c>
      <c r="G9" s="315">
        <v>0</v>
      </c>
      <c r="H9" s="315">
        <v>0</v>
      </c>
      <c r="I9" s="315">
        <v>0</v>
      </c>
      <c r="J9" s="168"/>
      <c r="K9" s="315">
        <v>0</v>
      </c>
      <c r="L9" s="315">
        <v>0</v>
      </c>
      <c r="M9" s="170"/>
      <c r="N9" s="21">
        <f t="shared" si="0"/>
        <v>0</v>
      </c>
    </row>
    <row r="10" spans="1:15" x14ac:dyDescent="0.2">
      <c r="A10" s="17" t="s">
        <v>329</v>
      </c>
      <c r="B10" s="17" t="s">
        <v>330</v>
      </c>
      <c r="C10" s="174"/>
      <c r="D10" s="175"/>
      <c r="E10" s="174"/>
      <c r="F10" s="176"/>
      <c r="G10" s="174"/>
      <c r="H10" s="176"/>
      <c r="I10" s="174"/>
      <c r="J10" s="168"/>
      <c r="K10" s="176"/>
      <c r="L10" s="174"/>
      <c r="M10" s="170"/>
      <c r="N10" s="21">
        <f t="shared" si="0"/>
        <v>0</v>
      </c>
    </row>
    <row r="11" spans="1:15" x14ac:dyDescent="0.2">
      <c r="A11" s="25" t="s">
        <v>331</v>
      </c>
      <c r="B11" s="25"/>
      <c r="C11" s="239"/>
      <c r="D11" s="239"/>
      <c r="E11" s="240"/>
      <c r="F11" s="239"/>
      <c r="G11" s="240"/>
      <c r="H11" s="240"/>
      <c r="I11" s="240"/>
      <c r="J11" s="242"/>
      <c r="K11" s="239"/>
      <c r="L11" s="240"/>
      <c r="M11" s="242"/>
      <c r="N11" s="166">
        <v>0</v>
      </c>
    </row>
    <row r="12" spans="1:15" ht="15.75" x14ac:dyDescent="0.25">
      <c r="A12" s="36" t="s">
        <v>33</v>
      </c>
      <c r="B12" s="25"/>
      <c r="C12" s="26">
        <f>SUM($C$5:$C$10)</f>
        <v>4867</v>
      </c>
      <c r="D12" s="27">
        <f>SUM($D$5:$D$10)</f>
        <v>4</v>
      </c>
      <c r="E12" s="27">
        <f>SUM($E$5:$E$10)</f>
        <v>5545</v>
      </c>
      <c r="F12" s="27">
        <f>SUM($F$5:$F$10)</f>
        <v>0</v>
      </c>
      <c r="G12" s="27">
        <f>SUM($G$5:$G$10)</f>
        <v>64</v>
      </c>
      <c r="H12" s="27">
        <f>SUM($H$5:$H$10)</f>
        <v>501</v>
      </c>
      <c r="I12" s="27">
        <f>SUM($I$5:$I$10)</f>
        <v>9150</v>
      </c>
      <c r="J12" s="28"/>
      <c r="K12" s="27">
        <f>SUM(K5:K10)</f>
        <v>5545</v>
      </c>
      <c r="L12" s="27">
        <f>SUM(L5:L10)</f>
        <v>0</v>
      </c>
      <c r="M12" s="28"/>
      <c r="N12" s="27">
        <f>SUM(N5:N10)</f>
        <v>0</v>
      </c>
    </row>
    <row r="13" spans="1:15" x14ac:dyDescent="0.2">
      <c r="A13" s="25"/>
      <c r="B13" s="25"/>
      <c r="C13" s="19"/>
      <c r="D13" s="18"/>
      <c r="E13" s="18"/>
      <c r="F13" s="18"/>
      <c r="G13" s="18"/>
      <c r="H13" s="18"/>
      <c r="I13" s="18"/>
      <c r="J13" s="195"/>
      <c r="K13" s="18"/>
      <c r="L13" s="18"/>
      <c r="M13" s="170"/>
      <c r="N13" s="30"/>
    </row>
    <row r="14" spans="1:15" x14ac:dyDescent="0.2">
      <c r="A14" s="31"/>
      <c r="B14" s="25"/>
      <c r="C14" s="23"/>
      <c r="D14" s="23"/>
      <c r="E14" s="23"/>
      <c r="F14" s="23"/>
      <c r="G14" s="23"/>
      <c r="H14" s="23"/>
      <c r="I14" s="23"/>
      <c r="J14" s="243"/>
      <c r="K14" s="23"/>
      <c r="L14" s="23"/>
      <c r="M14" s="245"/>
      <c r="N14" s="32"/>
    </row>
    <row r="15" spans="1:15" x14ac:dyDescent="0.2">
      <c r="A15" s="16" t="s">
        <v>332</v>
      </c>
      <c r="B15" s="16" t="s">
        <v>333</v>
      </c>
      <c r="C15" s="178"/>
      <c r="D15" s="241"/>
      <c r="E15" s="178"/>
      <c r="F15" s="177"/>
      <c r="G15" s="178"/>
      <c r="H15" s="177"/>
      <c r="I15" s="178"/>
      <c r="J15" s="244"/>
      <c r="K15" s="177"/>
      <c r="L15" s="178"/>
      <c r="M15" s="169"/>
      <c r="N15" s="20">
        <f>K15-E15</f>
        <v>0</v>
      </c>
    </row>
    <row r="16" spans="1:15" x14ac:dyDescent="0.2">
      <c r="A16" s="17" t="s">
        <v>334</v>
      </c>
      <c r="B16" s="33"/>
      <c r="C16" s="190"/>
      <c r="D16" s="191"/>
      <c r="E16" s="190"/>
      <c r="F16" s="192"/>
      <c r="G16" s="190"/>
      <c r="H16" s="192"/>
      <c r="I16" s="190"/>
      <c r="J16" s="168"/>
      <c r="K16" s="193"/>
      <c r="L16" s="194"/>
      <c r="M16" s="170"/>
      <c r="N16" s="21">
        <f>K16-E16</f>
        <v>0</v>
      </c>
    </row>
    <row r="17" spans="1:14" x14ac:dyDescent="0.2">
      <c r="A17" s="17" t="s">
        <v>335</v>
      </c>
      <c r="B17" s="17"/>
      <c r="C17" s="174"/>
      <c r="D17" s="175"/>
      <c r="E17" s="174"/>
      <c r="F17" s="176"/>
      <c r="G17" s="174"/>
      <c r="H17" s="176"/>
      <c r="I17" s="174"/>
      <c r="J17" s="168"/>
      <c r="K17" s="176"/>
      <c r="L17" s="174"/>
      <c r="M17" s="170"/>
      <c r="N17" s="21">
        <f>K17-E17</f>
        <v>0</v>
      </c>
    </row>
    <row r="18" spans="1:14" x14ac:dyDescent="0.2">
      <c r="A18" s="17" t="s">
        <v>336</v>
      </c>
      <c r="B18" s="315" t="s">
        <v>20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168"/>
      <c r="K18" s="315">
        <v>0</v>
      </c>
      <c r="L18" s="315">
        <v>0</v>
      </c>
      <c r="M18" s="170"/>
      <c r="N18" s="21">
        <f>K18-E18</f>
        <v>0</v>
      </c>
    </row>
    <row r="19" spans="1:14" x14ac:dyDescent="0.2">
      <c r="A19" s="17" t="s">
        <v>337</v>
      </c>
      <c r="B19" s="17" t="s">
        <v>338</v>
      </c>
      <c r="C19" s="174"/>
      <c r="D19" s="175"/>
      <c r="E19" s="174"/>
      <c r="F19" s="176"/>
      <c r="G19" s="174"/>
      <c r="H19" s="176"/>
      <c r="I19" s="174"/>
      <c r="J19" s="168"/>
      <c r="K19" s="176"/>
      <c r="L19" s="174"/>
      <c r="M19" s="170"/>
      <c r="N19" s="21">
        <f>K19-E19</f>
        <v>0</v>
      </c>
    </row>
    <row r="20" spans="1:14" x14ac:dyDescent="0.2">
      <c r="A20" s="167" t="s">
        <v>339</v>
      </c>
      <c r="B20" s="17"/>
      <c r="C20" s="174"/>
      <c r="D20" s="175"/>
      <c r="E20" s="174"/>
      <c r="F20" s="176"/>
      <c r="G20" s="174"/>
      <c r="H20" s="176"/>
      <c r="I20" s="174"/>
      <c r="J20" s="168"/>
      <c r="K20" s="176"/>
      <c r="L20" s="174"/>
      <c r="M20" s="170"/>
      <c r="N20" s="21">
        <v>0</v>
      </c>
    </row>
    <row r="21" spans="1:14" ht="15.75" x14ac:dyDescent="0.25">
      <c r="A21" s="36" t="s">
        <v>33</v>
      </c>
      <c r="B21" s="75"/>
      <c r="C21" s="76">
        <f>SUM($C$15:$C$19)</f>
        <v>0</v>
      </c>
      <c r="D21" s="76">
        <f>SUM($D$15:$D$19)</f>
        <v>0</v>
      </c>
      <c r="E21" s="76">
        <f>SUM($E$15:$E$19)</f>
        <v>0</v>
      </c>
      <c r="F21" s="76">
        <f>SUM($F$15:$F$19)</f>
        <v>0</v>
      </c>
      <c r="G21" s="76">
        <f>SUM($G$15:$G$19)</f>
        <v>0</v>
      </c>
      <c r="H21" s="76">
        <f>SUM($H$15:$H$19)</f>
        <v>0</v>
      </c>
      <c r="I21" s="76">
        <f>SUM($I$15:$I$19)</f>
        <v>0</v>
      </c>
      <c r="J21" s="77"/>
      <c r="K21" s="76">
        <f>SUM(K15:K19)</f>
        <v>0</v>
      </c>
      <c r="L21" s="76">
        <f>SUM(L15:L19)</f>
        <v>0</v>
      </c>
      <c r="M21" s="77"/>
      <c r="N21" s="76">
        <f>SUM(N15:N19)</f>
        <v>0</v>
      </c>
    </row>
    <row r="22" spans="1:14" x14ac:dyDescent="0.2">
      <c r="J22" s="18"/>
    </row>
    <row r="24" spans="1:14" ht="15.75" x14ac:dyDescent="0.25">
      <c r="A24" s="24" t="s">
        <v>54</v>
      </c>
      <c r="C24" s="39">
        <f t="shared" ref="C24:I24" si="1">SUM(C12,C21)</f>
        <v>4867</v>
      </c>
      <c r="D24" s="39">
        <f t="shared" si="1"/>
        <v>4</v>
      </c>
      <c r="E24" s="39">
        <f t="shared" si="1"/>
        <v>5545</v>
      </c>
      <c r="F24" s="39">
        <f t="shared" si="1"/>
        <v>0</v>
      </c>
      <c r="G24" s="39">
        <f t="shared" si="1"/>
        <v>64</v>
      </c>
      <c r="H24" s="39">
        <f t="shared" si="1"/>
        <v>501</v>
      </c>
      <c r="I24" s="39">
        <f t="shared" si="1"/>
        <v>9150</v>
      </c>
      <c r="J24" s="40"/>
      <c r="K24" s="39">
        <f>SUM(K12,K21)</f>
        <v>5545</v>
      </c>
      <c r="L24" s="39">
        <f>SUM(L12,L21)</f>
        <v>0</v>
      </c>
      <c r="M24" s="40"/>
      <c r="N24" s="39">
        <f>SUM(N12,N21)</f>
        <v>0</v>
      </c>
    </row>
  </sheetData>
  <mergeCells count="3">
    <mergeCell ref="A1:O2"/>
    <mergeCell ref="B3:J3"/>
    <mergeCell ref="K3:M3"/>
  </mergeCells>
  <conditionalFormatting sqref="D5:D11 L5:M11 D13:D20 L13:M20">
    <cfRule type="cellIs" dxfId="5" priority="1" stopIfTrue="1" operator="greaterThan">
      <formula>0</formula>
    </cfRule>
  </conditionalFormatting>
  <printOptions horizontalCentered="1" verticalCentered="1"/>
  <pageMargins left="0.17986111111111111" right="0.17986111111111111" top="0.98402777777777772" bottom="0.98402777777777772" header="0.51180555555555551" footer="0.51180555555555551"/>
  <pageSetup paperSize="9" firstPageNumber="0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E8527-5A97-4085-B61E-C62401667986}">
  <sheetPr codeName="Feuil8">
    <pageSetUpPr fitToPage="1"/>
  </sheetPr>
  <dimension ref="A1:P76"/>
  <sheetViews>
    <sheetView zoomScale="85" zoomScaleNormal="100" workbookViewId="0">
      <selection sqref="A1:O2"/>
    </sheetView>
  </sheetViews>
  <sheetFormatPr defaultRowHeight="12.75" x14ac:dyDescent="0.2"/>
  <cols>
    <col min="1" max="1" width="55.85546875" bestFit="1" customWidth="1"/>
    <col min="2" max="2" width="0" hidden="1" bestFit="1" customWidth="1"/>
    <col min="3" max="3" width="32.42578125" style="1" bestFit="1" customWidth="1"/>
    <col min="4" max="4" width="12" style="1" bestFit="1" customWidth="1"/>
    <col min="5" max="5" width="23.5703125" style="1" bestFit="1" customWidth="1"/>
    <col min="6" max="6" width="14.42578125" style="1" bestFit="1" customWidth="1"/>
    <col min="7" max="7" width="9" style="1" bestFit="1" customWidth="1"/>
    <col min="8" max="8" width="22" bestFit="1" customWidth="1"/>
    <col min="9" max="9" width="9.140625" bestFit="1" customWidth="1"/>
    <col min="10" max="10" width="10.28515625" bestFit="1" customWidth="1"/>
    <col min="11" max="12" width="16.5703125" bestFit="1" customWidth="1"/>
    <col min="13" max="13" width="22" bestFit="1" customWidth="1"/>
    <col min="14" max="14" width="17.7109375" bestFit="1" customWidth="1"/>
    <col min="15" max="15" width="25.42578125" bestFit="1" customWidth="1"/>
    <col min="16" max="256" width="9.140625" bestFit="1" customWidth="1"/>
  </cols>
  <sheetData>
    <row r="1" spans="1:16" ht="20.25" x14ac:dyDescent="0.2">
      <c r="A1" s="352" t="s">
        <v>340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41"/>
    </row>
    <row r="2" spans="1:16" ht="20.25" x14ac:dyDescent="0.2">
      <c r="A2" s="343"/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41"/>
    </row>
    <row r="3" spans="1:16" ht="37.5" customHeight="1" x14ac:dyDescent="0.2">
      <c r="A3" s="344" t="s">
        <v>323</v>
      </c>
      <c r="B3" s="164" t="s">
        <v>55</v>
      </c>
      <c r="C3" s="43" t="s">
        <v>56</v>
      </c>
      <c r="D3" s="345" t="s">
        <v>57</v>
      </c>
      <c r="E3" s="345"/>
      <c r="F3" s="345"/>
      <c r="G3" s="345"/>
      <c r="H3" s="345"/>
      <c r="I3" s="345" t="s">
        <v>58</v>
      </c>
      <c r="J3" s="345"/>
      <c r="K3" s="345"/>
      <c r="L3" s="345"/>
      <c r="M3" s="345"/>
      <c r="N3" s="346" t="s">
        <v>59</v>
      </c>
      <c r="O3" s="346" t="s">
        <v>60</v>
      </c>
    </row>
    <row r="4" spans="1:16" ht="15.75" x14ac:dyDescent="0.2">
      <c r="A4" s="355"/>
      <c r="B4" s="165" t="s">
        <v>61</v>
      </c>
      <c r="C4" s="46" t="s">
        <v>62</v>
      </c>
      <c r="D4" s="46" t="s">
        <v>16</v>
      </c>
      <c r="E4" s="46" t="s">
        <v>63</v>
      </c>
      <c r="F4" s="46" t="s">
        <v>64</v>
      </c>
      <c r="G4" s="46" t="s">
        <v>65</v>
      </c>
      <c r="H4" s="47" t="s">
        <v>14</v>
      </c>
      <c r="I4" s="46" t="s">
        <v>16</v>
      </c>
      <c r="J4" s="46" t="s">
        <v>66</v>
      </c>
      <c r="K4" s="48" t="s">
        <v>67</v>
      </c>
      <c r="L4" s="46" t="s">
        <v>65</v>
      </c>
      <c r="M4" s="47" t="s">
        <v>14</v>
      </c>
      <c r="N4" s="346"/>
      <c r="O4" s="346"/>
    </row>
    <row r="5" spans="1:16" x14ac:dyDescent="0.2">
      <c r="A5" s="17" t="s">
        <v>324</v>
      </c>
      <c r="B5" s="16"/>
      <c r="C5" s="316">
        <v>3464</v>
      </c>
      <c r="D5" s="316">
        <v>0</v>
      </c>
      <c r="E5" s="316">
        <v>3486</v>
      </c>
      <c r="F5" s="316">
        <v>274</v>
      </c>
      <c r="G5" s="200"/>
      <c r="H5" s="217"/>
      <c r="I5" s="316">
        <v>0</v>
      </c>
      <c r="J5" s="200"/>
      <c r="K5" s="316">
        <v>3486</v>
      </c>
      <c r="L5" s="200"/>
      <c r="M5" s="217"/>
      <c r="N5" s="316">
        <v>3563</v>
      </c>
      <c r="O5" s="316" t="s">
        <v>341</v>
      </c>
    </row>
    <row r="6" spans="1:16" x14ac:dyDescent="0.2">
      <c r="A6" s="17" t="s">
        <v>325</v>
      </c>
      <c r="B6" s="17"/>
      <c r="C6" s="315">
        <v>1871</v>
      </c>
      <c r="D6" s="315">
        <v>0</v>
      </c>
      <c r="E6" s="315">
        <v>1871</v>
      </c>
      <c r="F6" s="315">
        <v>0</v>
      </c>
      <c r="G6" s="194"/>
      <c r="H6" s="218"/>
      <c r="I6" s="315">
        <v>0</v>
      </c>
      <c r="J6" s="194"/>
      <c r="K6" s="315">
        <v>1871</v>
      </c>
      <c r="L6" s="194"/>
      <c r="M6" s="218"/>
      <c r="N6" s="315">
        <v>1878</v>
      </c>
      <c r="O6" s="315" t="s">
        <v>342</v>
      </c>
    </row>
    <row r="7" spans="1:16" x14ac:dyDescent="0.2">
      <c r="A7" s="17" t="s">
        <v>326</v>
      </c>
      <c r="B7" t="s">
        <v>20</v>
      </c>
      <c r="C7" s="204"/>
      <c r="D7" s="205"/>
      <c r="E7" s="194"/>
      <c r="F7" s="194"/>
      <c r="G7" s="194"/>
      <c r="H7" s="218"/>
      <c r="I7" s="205"/>
      <c r="J7" s="194"/>
      <c r="K7" s="174"/>
      <c r="L7" s="194"/>
      <c r="M7" s="218"/>
      <c r="N7" s="207"/>
      <c r="O7" s="207"/>
    </row>
    <row r="8" spans="1:16" x14ac:dyDescent="0.2">
      <c r="A8" s="52" t="s">
        <v>343</v>
      </c>
      <c r="B8" t="s">
        <v>20</v>
      </c>
      <c r="C8" s="204"/>
      <c r="D8" s="205"/>
      <c r="E8" s="194"/>
      <c r="F8" s="194"/>
      <c r="G8" s="194"/>
      <c r="H8" s="218"/>
      <c r="I8" s="205"/>
      <c r="J8" s="194"/>
      <c r="K8" s="174"/>
      <c r="L8" s="194"/>
      <c r="M8" s="218"/>
      <c r="N8" s="207"/>
      <c r="O8" s="207"/>
    </row>
    <row r="9" spans="1:16" x14ac:dyDescent="0.2">
      <c r="A9" s="17" t="s">
        <v>327</v>
      </c>
      <c r="B9" s="17"/>
      <c r="C9" s="315">
        <v>210</v>
      </c>
      <c r="D9" s="315">
        <v>0</v>
      </c>
      <c r="E9" s="315">
        <v>210</v>
      </c>
      <c r="F9" s="315">
        <v>32</v>
      </c>
      <c r="G9" s="194"/>
      <c r="H9" s="218"/>
      <c r="I9" s="315">
        <v>0</v>
      </c>
      <c r="J9" s="194"/>
      <c r="K9" s="315">
        <v>210</v>
      </c>
      <c r="L9" s="194"/>
      <c r="M9" s="218"/>
      <c r="N9" s="315">
        <v>231</v>
      </c>
      <c r="O9" s="315" t="s">
        <v>344</v>
      </c>
    </row>
    <row r="10" spans="1:16" x14ac:dyDescent="0.2">
      <c r="A10" s="52" t="s">
        <v>345</v>
      </c>
      <c r="B10" s="17"/>
      <c r="C10" s="315">
        <v>4</v>
      </c>
      <c r="D10" s="315">
        <v>2</v>
      </c>
      <c r="E10" s="315">
        <v>4</v>
      </c>
      <c r="F10" s="315">
        <v>0</v>
      </c>
      <c r="G10" s="194"/>
      <c r="H10" s="218"/>
      <c r="I10" s="315">
        <v>0</v>
      </c>
      <c r="J10" s="194"/>
      <c r="K10" s="315">
        <v>4</v>
      </c>
      <c r="L10" s="194"/>
      <c r="M10" s="218"/>
      <c r="N10" s="315">
        <v>7</v>
      </c>
      <c r="O10" s="315" t="s">
        <v>346</v>
      </c>
    </row>
    <row r="11" spans="1:16" x14ac:dyDescent="0.2">
      <c r="A11" s="17" t="s">
        <v>328</v>
      </c>
      <c r="B11" s="17"/>
      <c r="C11" s="315">
        <v>0</v>
      </c>
      <c r="D11" s="315">
        <v>0</v>
      </c>
      <c r="E11" s="315">
        <v>0</v>
      </c>
      <c r="F11" s="315">
        <v>0</v>
      </c>
      <c r="G11" s="194"/>
      <c r="H11" s="218"/>
      <c r="I11" s="315">
        <v>0</v>
      </c>
      <c r="J11" s="194"/>
      <c r="K11" s="315">
        <v>0</v>
      </c>
      <c r="L11" s="194"/>
      <c r="M11" s="218"/>
      <c r="N11" s="207"/>
      <c r="O11" s="315" t="s">
        <v>68</v>
      </c>
    </row>
    <row r="12" spans="1:16" x14ac:dyDescent="0.2">
      <c r="A12" s="52" t="s">
        <v>347</v>
      </c>
      <c r="B12" s="17"/>
      <c r="C12" s="315">
        <v>8</v>
      </c>
      <c r="D12" s="315">
        <v>0</v>
      </c>
      <c r="E12" s="315">
        <v>16</v>
      </c>
      <c r="F12" s="315">
        <v>0</v>
      </c>
      <c r="G12" s="194"/>
      <c r="H12" s="218"/>
      <c r="I12" s="315">
        <v>0</v>
      </c>
      <c r="J12" s="194"/>
      <c r="K12" s="315">
        <v>16</v>
      </c>
      <c r="L12" s="194"/>
      <c r="M12" s="218"/>
      <c r="N12" s="315">
        <v>16</v>
      </c>
      <c r="O12" s="315" t="s">
        <v>348</v>
      </c>
    </row>
    <row r="13" spans="1:16" x14ac:dyDescent="0.2">
      <c r="A13" s="78" t="s">
        <v>349</v>
      </c>
      <c r="B13" s="17"/>
      <c r="C13" s="315">
        <v>574</v>
      </c>
      <c r="D13" s="315">
        <v>0</v>
      </c>
      <c r="E13" s="315">
        <v>1426</v>
      </c>
      <c r="F13" s="315">
        <v>287</v>
      </c>
      <c r="G13" s="194"/>
      <c r="H13" s="218"/>
      <c r="I13" s="315">
        <v>0</v>
      </c>
      <c r="J13" s="194"/>
      <c r="K13" s="315">
        <v>1426</v>
      </c>
      <c r="L13" s="194"/>
      <c r="M13" s="218"/>
      <c r="N13" s="315">
        <v>1732</v>
      </c>
      <c r="O13" s="315" t="s">
        <v>350</v>
      </c>
    </row>
    <row r="14" spans="1:16" x14ac:dyDescent="0.2">
      <c r="A14" s="25" t="s">
        <v>329</v>
      </c>
      <c r="B14" s="25"/>
      <c r="C14" s="315">
        <v>0</v>
      </c>
      <c r="D14" s="315">
        <v>0</v>
      </c>
      <c r="E14" s="315">
        <v>0</v>
      </c>
      <c r="F14" s="315">
        <v>0</v>
      </c>
      <c r="G14" s="194"/>
      <c r="H14" s="218"/>
      <c r="I14" s="315">
        <v>0</v>
      </c>
      <c r="J14" s="194"/>
      <c r="K14" s="315">
        <v>0</v>
      </c>
      <c r="L14" s="194"/>
      <c r="M14" s="218"/>
      <c r="N14" s="207"/>
      <c r="O14" s="315" t="s">
        <v>68</v>
      </c>
    </row>
    <row r="15" spans="1:16" x14ac:dyDescent="0.2">
      <c r="A15" s="145" t="s">
        <v>351</v>
      </c>
      <c r="B15" s="25"/>
      <c r="C15" s="315">
        <v>2</v>
      </c>
      <c r="D15" s="315">
        <v>0</v>
      </c>
      <c r="E15" s="315">
        <v>3</v>
      </c>
      <c r="F15" s="315">
        <v>0</v>
      </c>
      <c r="G15" s="194"/>
      <c r="H15" s="218"/>
      <c r="I15" s="315">
        <v>0</v>
      </c>
      <c r="J15" s="194"/>
      <c r="K15" s="315">
        <v>2</v>
      </c>
      <c r="L15" s="194"/>
      <c r="M15" s="218"/>
      <c r="N15" s="315">
        <v>4</v>
      </c>
      <c r="O15" s="315" t="s">
        <v>352</v>
      </c>
    </row>
    <row r="16" spans="1:16" x14ac:dyDescent="0.2">
      <c r="A16" s="145" t="s">
        <v>331</v>
      </c>
      <c r="B16" s="25"/>
      <c r="C16" s="315">
        <v>6</v>
      </c>
      <c r="D16" s="315">
        <v>0</v>
      </c>
      <c r="E16" s="315">
        <v>12</v>
      </c>
      <c r="F16" s="315">
        <v>0</v>
      </c>
      <c r="G16" s="194"/>
      <c r="H16" s="218"/>
      <c r="I16" s="315">
        <v>0</v>
      </c>
      <c r="J16" s="194"/>
      <c r="K16" s="315">
        <v>12</v>
      </c>
      <c r="L16" s="194"/>
      <c r="M16" s="218"/>
      <c r="N16" s="315">
        <v>14</v>
      </c>
      <c r="O16" s="315" t="s">
        <v>353</v>
      </c>
    </row>
    <row r="17" spans="1:15" x14ac:dyDescent="0.2">
      <c r="A17" s="145" t="s">
        <v>354</v>
      </c>
      <c r="B17" t="s">
        <v>20</v>
      </c>
      <c r="C17" s="210"/>
      <c r="D17" s="205"/>
      <c r="E17" s="209"/>
      <c r="F17" s="194"/>
      <c r="G17" s="194"/>
      <c r="H17" s="218"/>
      <c r="I17" s="205"/>
      <c r="J17" s="194"/>
      <c r="K17" s="174"/>
      <c r="L17" s="194"/>
      <c r="M17" s="218"/>
      <c r="N17" s="207"/>
      <c r="O17" s="207"/>
    </row>
    <row r="18" spans="1:15" x14ac:dyDescent="0.2">
      <c r="A18" s="145" t="s">
        <v>355</v>
      </c>
      <c r="B18" t="s">
        <v>20</v>
      </c>
      <c r="C18" s="210"/>
      <c r="D18" s="205"/>
      <c r="E18" s="209"/>
      <c r="F18" s="194"/>
      <c r="G18" s="194"/>
      <c r="H18" s="218"/>
      <c r="I18" s="205"/>
      <c r="J18" s="194"/>
      <c r="K18" s="174"/>
      <c r="L18" s="194"/>
      <c r="M18" s="218"/>
      <c r="N18" s="207"/>
      <c r="O18" s="207"/>
    </row>
    <row r="19" spans="1:15" x14ac:dyDescent="0.2">
      <c r="A19" s="145" t="s">
        <v>356</v>
      </c>
      <c r="B19" t="s">
        <v>20</v>
      </c>
      <c r="C19" s="210"/>
      <c r="D19" s="205"/>
      <c r="E19" s="209"/>
      <c r="F19" s="194"/>
      <c r="G19" s="194"/>
      <c r="H19" s="218"/>
      <c r="I19" s="205"/>
      <c r="J19" s="194"/>
      <c r="K19" s="174"/>
      <c r="L19" s="194"/>
      <c r="M19" s="218"/>
      <c r="N19" s="207"/>
      <c r="O19" s="207"/>
    </row>
    <row r="20" spans="1:15" x14ac:dyDescent="0.2">
      <c r="A20" s="145" t="s">
        <v>357</v>
      </c>
      <c r="B20" t="s">
        <v>20</v>
      </c>
      <c r="C20" s="210"/>
      <c r="D20" s="205"/>
      <c r="E20" s="209"/>
      <c r="F20" s="194"/>
      <c r="G20" s="194"/>
      <c r="H20" s="218"/>
      <c r="I20" s="205"/>
      <c r="J20" s="194"/>
      <c r="K20" s="174"/>
      <c r="L20" s="194"/>
      <c r="M20" s="218"/>
      <c r="N20" s="207"/>
      <c r="O20" s="207"/>
    </row>
    <row r="21" spans="1:15" x14ac:dyDescent="0.2">
      <c r="A21" s="145" t="s">
        <v>358</v>
      </c>
      <c r="B21" t="s">
        <v>20</v>
      </c>
      <c r="C21" s="210"/>
      <c r="D21" s="205"/>
      <c r="E21" s="209"/>
      <c r="F21" s="194"/>
      <c r="G21" s="194"/>
      <c r="H21" s="218"/>
      <c r="I21" s="205"/>
      <c r="J21" s="194"/>
      <c r="K21" s="174"/>
      <c r="L21" s="194"/>
      <c r="M21" s="218"/>
      <c r="N21" s="207"/>
      <c r="O21" s="207"/>
    </row>
    <row r="22" spans="1:15" x14ac:dyDescent="0.2">
      <c r="A22" s="145" t="s">
        <v>359</v>
      </c>
      <c r="B22" t="s">
        <v>20</v>
      </c>
      <c r="C22" s="210"/>
      <c r="D22" s="205"/>
      <c r="E22" s="209"/>
      <c r="F22" s="194"/>
      <c r="G22" s="194"/>
      <c r="H22" s="218"/>
      <c r="I22" s="205"/>
      <c r="J22" s="194"/>
      <c r="K22" s="174"/>
      <c r="L22" s="194"/>
      <c r="M22" s="218"/>
      <c r="N22" s="207"/>
      <c r="O22" s="207"/>
    </row>
    <row r="23" spans="1:15" x14ac:dyDescent="0.2">
      <c r="A23" s="145" t="s">
        <v>360</v>
      </c>
      <c r="B23" t="s">
        <v>20</v>
      </c>
      <c r="C23" s="210"/>
      <c r="D23" s="205"/>
      <c r="E23" s="209"/>
      <c r="F23" s="194"/>
      <c r="G23" s="194"/>
      <c r="H23" s="218"/>
      <c r="I23" s="205"/>
      <c r="J23" s="194"/>
      <c r="K23" s="174"/>
      <c r="L23" s="194"/>
      <c r="M23" s="218"/>
      <c r="N23" s="207"/>
      <c r="O23" s="207"/>
    </row>
    <row r="24" spans="1:15" x14ac:dyDescent="0.2">
      <c r="A24" s="145" t="s">
        <v>361</v>
      </c>
      <c r="B24" t="s">
        <v>20</v>
      </c>
      <c r="C24" s="210"/>
      <c r="D24" s="205"/>
      <c r="E24" s="209"/>
      <c r="F24" s="194"/>
      <c r="G24" s="194"/>
      <c r="H24" s="218"/>
      <c r="I24" s="205"/>
      <c r="J24" s="194"/>
      <c r="K24" s="174"/>
      <c r="L24" s="194"/>
      <c r="M24" s="218"/>
      <c r="N24" s="207"/>
      <c r="O24" s="207"/>
    </row>
    <row r="25" spans="1:15" x14ac:dyDescent="0.2">
      <c r="A25" s="145" t="s">
        <v>362</v>
      </c>
      <c r="B25" t="s">
        <v>20</v>
      </c>
      <c r="C25" s="210"/>
      <c r="D25" s="205"/>
      <c r="E25" s="209"/>
      <c r="F25" s="194"/>
      <c r="G25" s="194"/>
      <c r="H25" s="218"/>
      <c r="I25" s="205"/>
      <c r="J25" s="194"/>
      <c r="K25" s="174"/>
      <c r="L25" s="194"/>
      <c r="M25" s="218"/>
      <c r="N25" s="207"/>
      <c r="O25" s="207"/>
    </row>
    <row r="26" spans="1:15" x14ac:dyDescent="0.2">
      <c r="A26" s="145" t="s">
        <v>363</v>
      </c>
      <c r="B26" t="s">
        <v>20</v>
      </c>
      <c r="C26" s="210"/>
      <c r="D26" s="205"/>
      <c r="E26" s="209"/>
      <c r="F26" s="194"/>
      <c r="G26" s="194"/>
      <c r="H26" s="218"/>
      <c r="I26" s="205"/>
      <c r="J26" s="194"/>
      <c r="K26" s="174"/>
      <c r="L26" s="194"/>
      <c r="M26" s="218"/>
      <c r="N26" s="207"/>
      <c r="O26" s="207"/>
    </row>
    <row r="27" spans="1:15" x14ac:dyDescent="0.2">
      <c r="A27" s="145" t="s">
        <v>364</v>
      </c>
      <c r="B27" t="s">
        <v>20</v>
      </c>
      <c r="C27" s="210"/>
      <c r="D27" s="205"/>
      <c r="E27" s="209"/>
      <c r="F27" s="194"/>
      <c r="G27" s="194"/>
      <c r="H27" s="218"/>
      <c r="I27" s="205"/>
      <c r="J27" s="194"/>
      <c r="K27" s="174"/>
      <c r="L27" s="194"/>
      <c r="M27" s="218"/>
      <c r="N27" s="207"/>
      <c r="O27" s="207"/>
    </row>
    <row r="28" spans="1:15" x14ac:dyDescent="0.2">
      <c r="A28" s="145" t="s">
        <v>365</v>
      </c>
      <c r="B28" t="s">
        <v>20</v>
      </c>
      <c r="C28" s="210"/>
      <c r="D28" s="205"/>
      <c r="E28" s="209"/>
      <c r="F28" s="194"/>
      <c r="G28" s="194"/>
      <c r="H28" s="218"/>
      <c r="I28" s="205"/>
      <c r="J28" s="194"/>
      <c r="K28" s="174"/>
      <c r="L28" s="194"/>
      <c r="M28" s="218"/>
      <c r="N28" s="207"/>
      <c r="O28" s="207"/>
    </row>
    <row r="29" spans="1:15" x14ac:dyDescent="0.2">
      <c r="A29" s="145" t="s">
        <v>366</v>
      </c>
      <c r="B29" t="s">
        <v>20</v>
      </c>
      <c r="C29" s="210"/>
      <c r="D29" s="205"/>
      <c r="E29" s="209"/>
      <c r="F29" s="194"/>
      <c r="G29" s="194"/>
      <c r="H29" s="218"/>
      <c r="I29" s="205"/>
      <c r="J29" s="194"/>
      <c r="K29" s="174"/>
      <c r="L29" s="194"/>
      <c r="M29" s="218"/>
      <c r="N29" s="207"/>
      <c r="O29" s="207"/>
    </row>
    <row r="30" spans="1:15" x14ac:dyDescent="0.2">
      <c r="A30" s="303" t="s">
        <v>367</v>
      </c>
      <c r="B30" t="s">
        <v>20</v>
      </c>
      <c r="C30" s="246"/>
      <c r="D30" s="247"/>
      <c r="E30" s="208"/>
      <c r="F30" s="231"/>
      <c r="G30" s="213"/>
      <c r="H30" s="221"/>
      <c r="I30" s="247"/>
      <c r="J30" s="213"/>
      <c r="K30" s="181"/>
      <c r="L30" s="213"/>
      <c r="M30" s="221"/>
      <c r="N30" s="248"/>
      <c r="O30" s="249"/>
    </row>
    <row r="31" spans="1:15" ht="15.75" x14ac:dyDescent="0.25">
      <c r="A31" s="2" t="s">
        <v>33</v>
      </c>
      <c r="B31" s="56"/>
      <c r="C31" s="62">
        <f>SUM(C5:C30)</f>
        <v>6139</v>
      </c>
      <c r="D31" s="62">
        <f>SUM(D5:D30)</f>
        <v>2</v>
      </c>
      <c r="E31" s="62">
        <f>SUM(E5:E30)</f>
        <v>7028</v>
      </c>
      <c r="F31" s="62">
        <f>SUM(F5:F30)</f>
        <v>593</v>
      </c>
      <c r="G31" s="62">
        <f>SUM(G5:G30)</f>
        <v>0</v>
      </c>
      <c r="H31" s="218"/>
      <c r="I31" s="62">
        <f>SUM(I5:I30)</f>
        <v>0</v>
      </c>
      <c r="J31" s="62">
        <f>SUM(J5:J30)</f>
        <v>0</v>
      </c>
      <c r="K31" s="62">
        <f>SUM(K5:K30)</f>
        <v>7027</v>
      </c>
      <c r="L31" s="62">
        <f>SUM(L5:L30)</f>
        <v>0</v>
      </c>
      <c r="M31" s="218"/>
      <c r="N31" s="62">
        <f>SUM(N5:N30)</f>
        <v>7445</v>
      </c>
      <c r="O31" s="17"/>
    </row>
    <row r="32" spans="1:15" x14ac:dyDescent="0.2">
      <c r="A32" s="25"/>
      <c r="B32" t="s">
        <v>20</v>
      </c>
      <c r="C32" s="58"/>
      <c r="D32" s="18"/>
      <c r="E32" s="49"/>
      <c r="F32" s="35"/>
      <c r="G32" s="49"/>
      <c r="H32" s="219"/>
      <c r="I32" s="59"/>
      <c r="J32" s="49"/>
      <c r="K32" s="50"/>
      <c r="L32" s="49"/>
      <c r="M32" s="219"/>
      <c r="N32" s="50"/>
      <c r="O32" s="25"/>
    </row>
    <row r="33" spans="1:15" x14ac:dyDescent="0.2">
      <c r="A33" s="31"/>
      <c r="B33" t="s">
        <v>20</v>
      </c>
      <c r="C33" s="60"/>
      <c r="D33" s="23"/>
      <c r="E33" s="54"/>
      <c r="F33" s="54"/>
      <c r="G33" s="54"/>
      <c r="H33" s="222"/>
      <c r="I33" s="61"/>
      <c r="J33" s="54"/>
      <c r="K33" s="31"/>
      <c r="L33" s="54"/>
      <c r="M33" s="222"/>
      <c r="N33" s="31"/>
      <c r="O33" s="31"/>
    </row>
    <row r="34" spans="1:15" x14ac:dyDescent="0.2">
      <c r="A34" s="16" t="s">
        <v>332</v>
      </c>
      <c r="B34" t="s">
        <v>20</v>
      </c>
      <c r="C34" s="204"/>
      <c r="D34" s="199"/>
      <c r="E34" s="194"/>
      <c r="F34" s="193"/>
      <c r="G34" s="194"/>
      <c r="H34" s="220"/>
      <c r="I34" s="199"/>
      <c r="J34" s="194"/>
      <c r="K34" s="178"/>
      <c r="L34" s="191"/>
      <c r="M34" s="218"/>
      <c r="N34" s="206"/>
      <c r="O34" s="203"/>
    </row>
    <row r="35" spans="1:15" x14ac:dyDescent="0.2">
      <c r="A35" s="17" t="s">
        <v>334</v>
      </c>
      <c r="B35" t="s">
        <v>20</v>
      </c>
      <c r="C35" s="204"/>
      <c r="D35" s="205"/>
      <c r="E35" s="194"/>
      <c r="F35" s="193"/>
      <c r="G35" s="194"/>
      <c r="H35" s="218"/>
      <c r="I35" s="205"/>
      <c r="J35" s="194"/>
      <c r="K35" s="174"/>
      <c r="L35" s="191"/>
      <c r="M35" s="218"/>
      <c r="N35" s="206"/>
      <c r="O35" s="207"/>
    </row>
    <row r="36" spans="1:15" x14ac:dyDescent="0.2">
      <c r="A36" s="52" t="s">
        <v>368</v>
      </c>
      <c r="B36" t="s">
        <v>20</v>
      </c>
      <c r="C36" s="204"/>
      <c r="D36" s="205"/>
      <c r="E36" s="194"/>
      <c r="F36" s="193"/>
      <c r="G36" s="194"/>
      <c r="H36" s="218"/>
      <c r="I36" s="205"/>
      <c r="J36" s="194"/>
      <c r="K36" s="174"/>
      <c r="L36" s="191"/>
      <c r="M36" s="218"/>
      <c r="N36" s="206"/>
      <c r="O36" s="207"/>
    </row>
    <row r="37" spans="1:15" x14ac:dyDescent="0.2">
      <c r="A37" s="17" t="s">
        <v>335</v>
      </c>
      <c r="B37" t="s">
        <v>20</v>
      </c>
      <c r="C37" s="204"/>
      <c r="D37" s="205"/>
      <c r="E37" s="194"/>
      <c r="F37" s="193"/>
      <c r="G37" s="194"/>
      <c r="H37" s="218"/>
      <c r="I37" s="205"/>
      <c r="J37" s="194"/>
      <c r="K37" s="174"/>
      <c r="L37" s="191"/>
      <c r="M37" s="218"/>
      <c r="N37" s="206"/>
      <c r="O37" s="207"/>
    </row>
    <row r="38" spans="1:15" x14ac:dyDescent="0.2">
      <c r="A38" s="52" t="s">
        <v>369</v>
      </c>
      <c r="B38" t="s">
        <v>20</v>
      </c>
      <c r="C38" s="204"/>
      <c r="D38" s="205"/>
      <c r="E38" s="194"/>
      <c r="F38" s="193"/>
      <c r="G38" s="194"/>
      <c r="H38" s="218"/>
      <c r="I38" s="205"/>
      <c r="J38" s="194"/>
      <c r="K38" s="174"/>
      <c r="L38" s="191"/>
      <c r="M38" s="218"/>
      <c r="N38" s="206"/>
      <c r="O38" s="207"/>
    </row>
    <row r="39" spans="1:15" x14ac:dyDescent="0.2">
      <c r="A39" s="17" t="s">
        <v>336</v>
      </c>
      <c r="B39" s="17"/>
      <c r="C39" s="315">
        <v>0</v>
      </c>
      <c r="D39" s="315">
        <v>0</v>
      </c>
      <c r="E39" s="315">
        <v>0</v>
      </c>
      <c r="F39" s="315">
        <v>0</v>
      </c>
      <c r="G39" s="194"/>
      <c r="H39" s="218"/>
      <c r="I39" s="315">
        <v>0</v>
      </c>
      <c r="J39" s="194"/>
      <c r="K39" s="315">
        <v>0</v>
      </c>
      <c r="L39" s="191"/>
      <c r="M39" s="218"/>
      <c r="N39" s="206"/>
      <c r="O39" s="315" t="s">
        <v>68</v>
      </c>
    </row>
    <row r="40" spans="1:15" x14ac:dyDescent="0.2">
      <c r="A40" s="17" t="s">
        <v>337</v>
      </c>
      <c r="B40" t="s">
        <v>20</v>
      </c>
      <c r="C40" s="204"/>
      <c r="D40" s="205"/>
      <c r="E40" s="194"/>
      <c r="F40" s="193"/>
      <c r="G40" s="194"/>
      <c r="H40" s="218"/>
      <c r="I40" s="205"/>
      <c r="J40" s="194"/>
      <c r="K40" s="174"/>
      <c r="L40" s="191"/>
      <c r="M40" s="218"/>
      <c r="N40" s="206"/>
      <c r="O40" s="207"/>
    </row>
    <row r="41" spans="1:15" x14ac:dyDescent="0.2">
      <c r="A41" s="52" t="s">
        <v>370</v>
      </c>
      <c r="B41" t="s">
        <v>20</v>
      </c>
      <c r="C41" s="204"/>
      <c r="D41" s="205"/>
      <c r="E41" s="194"/>
      <c r="F41" s="193"/>
      <c r="G41" s="194"/>
      <c r="H41" s="218"/>
      <c r="I41" s="205"/>
      <c r="J41" s="194"/>
      <c r="K41" s="174"/>
      <c r="L41" s="191"/>
      <c r="M41" s="218"/>
      <c r="N41" s="206"/>
      <c r="O41" s="207"/>
    </row>
    <row r="42" spans="1:15" x14ac:dyDescent="0.2">
      <c r="A42" s="52" t="s">
        <v>371</v>
      </c>
      <c r="B42" s="17"/>
      <c r="C42" s="315">
        <v>0</v>
      </c>
      <c r="D42" s="315">
        <v>0</v>
      </c>
      <c r="E42" s="315">
        <v>0</v>
      </c>
      <c r="F42" s="315">
        <v>0</v>
      </c>
      <c r="G42" s="194"/>
      <c r="H42" s="218"/>
      <c r="I42" s="315">
        <v>0</v>
      </c>
      <c r="J42" s="194"/>
      <c r="K42" s="315">
        <v>0</v>
      </c>
      <c r="L42" s="191"/>
      <c r="M42" s="218"/>
      <c r="N42" s="206"/>
      <c r="O42" s="315" t="s">
        <v>68</v>
      </c>
    </row>
    <row r="43" spans="1:15" x14ac:dyDescent="0.2">
      <c r="A43" s="17" t="s">
        <v>372</v>
      </c>
      <c r="B43" s="17"/>
      <c r="C43" s="315">
        <v>0</v>
      </c>
      <c r="D43" s="315">
        <v>0</v>
      </c>
      <c r="E43" s="315">
        <v>0</v>
      </c>
      <c r="F43" s="315">
        <v>0</v>
      </c>
      <c r="G43" s="194"/>
      <c r="H43" s="218"/>
      <c r="I43" s="315">
        <v>0</v>
      </c>
      <c r="J43" s="194"/>
      <c r="K43" s="315">
        <v>0</v>
      </c>
      <c r="L43" s="191"/>
      <c r="M43" s="218"/>
      <c r="N43" s="206"/>
      <c r="O43" s="315" t="s">
        <v>68</v>
      </c>
    </row>
    <row r="44" spans="1:15" x14ac:dyDescent="0.2">
      <c r="A44" s="17" t="s">
        <v>373</v>
      </c>
      <c r="B44" t="s">
        <v>20</v>
      </c>
      <c r="C44" s="204"/>
      <c r="D44" s="205"/>
      <c r="E44" s="194"/>
      <c r="F44" s="193"/>
      <c r="G44" s="194"/>
      <c r="H44" s="218"/>
      <c r="I44" s="205"/>
      <c r="J44" s="194"/>
      <c r="K44" s="174"/>
      <c r="L44" s="191"/>
      <c r="M44" s="218"/>
      <c r="N44" s="206"/>
      <c r="O44" s="207"/>
    </row>
    <row r="45" spans="1:15" x14ac:dyDescent="0.2">
      <c r="A45" s="95" t="s">
        <v>374</v>
      </c>
      <c r="B45" t="s">
        <v>20</v>
      </c>
      <c r="C45" s="204"/>
      <c r="D45" s="205"/>
      <c r="E45" s="194"/>
      <c r="F45" s="193"/>
      <c r="G45" s="194"/>
      <c r="H45" s="218"/>
      <c r="I45" s="205"/>
      <c r="J45" s="194"/>
      <c r="K45" s="174"/>
      <c r="L45" s="191"/>
      <c r="M45" s="218"/>
      <c r="N45" s="206"/>
      <c r="O45" s="207"/>
    </row>
    <row r="46" spans="1:15" x14ac:dyDescent="0.2">
      <c r="A46" s="155" t="s">
        <v>375</v>
      </c>
      <c r="B46" t="s">
        <v>20</v>
      </c>
      <c r="C46" s="204"/>
      <c r="D46" s="205"/>
      <c r="E46" s="194"/>
      <c r="F46" s="193"/>
      <c r="G46" s="194"/>
      <c r="H46" s="219"/>
      <c r="I46" s="205"/>
      <c r="J46" s="194"/>
      <c r="K46" s="174"/>
      <c r="L46" s="194"/>
      <c r="M46" s="219"/>
      <c r="N46" s="207"/>
      <c r="O46" s="211"/>
    </row>
    <row r="47" spans="1:15" x14ac:dyDescent="0.2">
      <c r="A47" s="145" t="s">
        <v>339</v>
      </c>
      <c r="B47" t="s">
        <v>20</v>
      </c>
      <c r="C47" s="204"/>
      <c r="D47" s="205"/>
      <c r="E47" s="194"/>
      <c r="F47" s="193"/>
      <c r="G47" s="194"/>
      <c r="H47" s="219"/>
      <c r="I47" s="205"/>
      <c r="J47" s="194"/>
      <c r="K47" s="174"/>
      <c r="L47" s="194"/>
      <c r="M47" s="219"/>
      <c r="N47" s="207"/>
      <c r="O47" s="211"/>
    </row>
    <row r="48" spans="1:15" x14ac:dyDescent="0.2">
      <c r="A48" s="145" t="s">
        <v>376</v>
      </c>
      <c r="B48" t="s">
        <v>20</v>
      </c>
      <c r="C48" s="204"/>
      <c r="D48" s="205"/>
      <c r="E48" s="194"/>
      <c r="F48" s="193"/>
      <c r="G48" s="194"/>
      <c r="H48" s="219"/>
      <c r="I48" s="205"/>
      <c r="J48" s="194"/>
      <c r="K48" s="174"/>
      <c r="L48" s="194"/>
      <c r="M48" s="219"/>
      <c r="N48" s="207"/>
      <c r="O48" s="211"/>
    </row>
    <row r="49" spans="1:15" x14ac:dyDescent="0.2">
      <c r="A49" s="145" t="s">
        <v>377</v>
      </c>
      <c r="B49" t="s">
        <v>20</v>
      </c>
      <c r="C49" s="204"/>
      <c r="D49" s="205"/>
      <c r="E49" s="194"/>
      <c r="F49" s="193"/>
      <c r="G49" s="194"/>
      <c r="H49" s="219"/>
      <c r="I49" s="205"/>
      <c r="J49" s="194"/>
      <c r="K49" s="174"/>
      <c r="L49" s="194"/>
      <c r="M49" s="219"/>
      <c r="N49" s="207"/>
      <c r="O49" s="211"/>
    </row>
    <row r="50" spans="1:15" x14ac:dyDescent="0.2">
      <c r="A50" s="145" t="s">
        <v>378</v>
      </c>
      <c r="B50" t="s">
        <v>20</v>
      </c>
      <c r="C50" s="204"/>
      <c r="D50" s="205"/>
      <c r="E50" s="194"/>
      <c r="F50" s="193"/>
      <c r="G50" s="194"/>
      <c r="H50" s="219"/>
      <c r="I50" s="205"/>
      <c r="J50" s="194"/>
      <c r="K50" s="174"/>
      <c r="L50" s="194"/>
      <c r="M50" s="219"/>
      <c r="N50" s="207"/>
      <c r="O50" s="211"/>
    </row>
    <row r="51" spans="1:15" x14ac:dyDescent="0.2">
      <c r="A51" s="145" t="s">
        <v>379</v>
      </c>
      <c r="B51" t="s">
        <v>20</v>
      </c>
      <c r="C51" s="204"/>
      <c r="D51" s="205"/>
      <c r="E51" s="194"/>
      <c r="F51" s="193"/>
      <c r="G51" s="194"/>
      <c r="H51" s="219"/>
      <c r="I51" s="205"/>
      <c r="J51" s="194"/>
      <c r="K51" s="174"/>
      <c r="L51" s="194"/>
      <c r="M51" s="219"/>
      <c r="N51" s="207"/>
      <c r="O51" s="211"/>
    </row>
    <row r="52" spans="1:15" x14ac:dyDescent="0.2">
      <c r="A52" s="145" t="s">
        <v>380</v>
      </c>
      <c r="B52" t="s">
        <v>20</v>
      </c>
      <c r="C52" s="204"/>
      <c r="D52" s="205"/>
      <c r="E52" s="194"/>
      <c r="F52" s="193"/>
      <c r="G52" s="194"/>
      <c r="H52" s="219"/>
      <c r="I52" s="205"/>
      <c r="J52" s="194"/>
      <c r="K52" s="174"/>
      <c r="L52" s="194"/>
      <c r="M52" s="219"/>
      <c r="N52" s="207"/>
      <c r="O52" s="211"/>
    </row>
    <row r="53" spans="1:15" x14ac:dyDescent="0.2">
      <c r="A53" s="145" t="s">
        <v>381</v>
      </c>
      <c r="B53" t="s">
        <v>20</v>
      </c>
      <c r="C53" s="204"/>
      <c r="D53" s="205"/>
      <c r="E53" s="194"/>
      <c r="F53" s="193"/>
      <c r="G53" s="194"/>
      <c r="H53" s="219"/>
      <c r="I53" s="205"/>
      <c r="J53" s="194"/>
      <c r="K53" s="174"/>
      <c r="L53" s="194"/>
      <c r="M53" s="219"/>
      <c r="N53" s="207"/>
      <c r="O53" s="211"/>
    </row>
    <row r="54" spans="1:15" x14ac:dyDescent="0.2">
      <c r="A54" s="145" t="s">
        <v>382</v>
      </c>
      <c r="B54" t="s">
        <v>20</v>
      </c>
      <c r="C54" s="204"/>
      <c r="D54" s="205"/>
      <c r="E54" s="194"/>
      <c r="F54" s="193"/>
      <c r="G54" s="194"/>
      <c r="H54" s="219"/>
      <c r="I54" s="205"/>
      <c r="J54" s="194"/>
      <c r="K54" s="174"/>
      <c r="L54" s="194"/>
      <c r="M54" s="219"/>
      <c r="N54" s="207"/>
      <c r="O54" s="211"/>
    </row>
    <row r="55" spans="1:15" x14ac:dyDescent="0.2">
      <c r="A55" s="145" t="s">
        <v>383</v>
      </c>
      <c r="B55" t="s">
        <v>20</v>
      </c>
      <c r="C55" s="204"/>
      <c r="D55" s="205"/>
      <c r="E55" s="194"/>
      <c r="F55" s="193"/>
      <c r="G55" s="194"/>
      <c r="H55" s="219"/>
      <c r="I55" s="205"/>
      <c r="J55" s="194"/>
      <c r="K55" s="174"/>
      <c r="L55" s="215"/>
      <c r="M55" s="219"/>
      <c r="N55" s="216"/>
      <c r="O55" s="211"/>
    </row>
    <row r="56" spans="1:15" ht="15.75" x14ac:dyDescent="0.25">
      <c r="A56" s="99" t="s">
        <v>33</v>
      </c>
      <c r="B56" s="68"/>
      <c r="C56" s="26">
        <f>SUM(C34:C55)</f>
        <v>0</v>
      </c>
      <c r="D56" s="26">
        <f>SUM(D34:D55)</f>
        <v>0</v>
      </c>
      <c r="E56" s="26">
        <f>SUM(E34:E55)</f>
        <v>0</v>
      </c>
      <c r="F56" s="26">
        <f>SUM(F34:F55)</f>
        <v>0</v>
      </c>
      <c r="G56" s="26">
        <f>SUM(G34:G55)</f>
        <v>0</v>
      </c>
      <c r="H56" s="68"/>
      <c r="I56" s="26">
        <f>SUM(I34:I55)</f>
        <v>0</v>
      </c>
      <c r="J56" s="26">
        <f>SUM(J34:J55)</f>
        <v>0</v>
      </c>
      <c r="K56" s="26">
        <f>SUM(K34:K55)</f>
        <v>0</v>
      </c>
      <c r="L56" s="26">
        <f>SUM(L34:L55)</f>
        <v>0</v>
      </c>
      <c r="M56" s="68"/>
      <c r="N56" s="26">
        <f>SUM(N34:N55)</f>
        <v>0</v>
      </c>
      <c r="O56" s="16"/>
    </row>
    <row r="57" spans="1:15" x14ac:dyDescent="0.2">
      <c r="B57" t="s">
        <v>20</v>
      </c>
      <c r="C57"/>
      <c r="D57"/>
      <c r="E57"/>
      <c r="F57"/>
      <c r="G57"/>
      <c r="N57" s="63"/>
      <c r="O57" s="25"/>
    </row>
    <row r="58" spans="1:15" x14ac:dyDescent="0.2">
      <c r="B58" t="s">
        <v>20</v>
      </c>
      <c r="C58"/>
      <c r="D58"/>
      <c r="E58"/>
      <c r="F58" s="24"/>
      <c r="G58"/>
      <c r="N58" s="63"/>
      <c r="O58" s="25"/>
    </row>
    <row r="59" spans="1:15" ht="15.75" x14ac:dyDescent="0.25">
      <c r="A59" s="2" t="s">
        <v>54</v>
      </c>
      <c r="C59" s="57">
        <f>C31+C56</f>
        <v>6139</v>
      </c>
      <c r="D59" s="57">
        <f>D31+D56</f>
        <v>2</v>
      </c>
      <c r="E59" s="57">
        <f>E31+E56</f>
        <v>7028</v>
      </c>
      <c r="F59" s="57">
        <f>F31+F56</f>
        <v>593</v>
      </c>
      <c r="G59" s="26">
        <f>G31+G56</f>
        <v>0</v>
      </c>
      <c r="H59" s="30"/>
      <c r="I59" s="57">
        <f>I31+I56</f>
        <v>0</v>
      </c>
      <c r="J59" s="57">
        <f>J31+J56</f>
        <v>0</v>
      </c>
      <c r="K59" s="57">
        <f>K31+K56</f>
        <v>7027</v>
      </c>
      <c r="L59" s="26">
        <f>L31+L56</f>
        <v>0</v>
      </c>
      <c r="M59" s="30"/>
      <c r="N59" s="57">
        <f>N31+N56</f>
        <v>7445</v>
      </c>
      <c r="O59" s="17"/>
    </row>
    <row r="60" spans="1:15" x14ac:dyDescent="0.2">
      <c r="A60" s="25"/>
      <c r="B60" t="s">
        <v>20</v>
      </c>
      <c r="C60" s="25"/>
      <c r="D60" s="18"/>
      <c r="N60" s="63"/>
    </row>
    <row r="61" spans="1:15" x14ac:dyDescent="0.2">
      <c r="A61" s="25"/>
      <c r="B61" t="s">
        <v>20</v>
      </c>
      <c r="C61" s="25"/>
      <c r="D61" s="18"/>
      <c r="N61" s="63"/>
    </row>
    <row r="62" spans="1:15" x14ac:dyDescent="0.2">
      <c r="A62" s="25"/>
      <c r="B62" t="s">
        <v>20</v>
      </c>
      <c r="C62" s="25"/>
      <c r="D62" s="18"/>
      <c r="N62" s="63"/>
    </row>
    <row r="63" spans="1:15" x14ac:dyDescent="0.2">
      <c r="A63" s="17"/>
      <c r="B63" t="s">
        <v>20</v>
      </c>
      <c r="C63" s="25"/>
      <c r="D63" s="18"/>
      <c r="N63" s="63"/>
    </row>
    <row r="64" spans="1:15" x14ac:dyDescent="0.2">
      <c r="B64" t="s">
        <v>20</v>
      </c>
    </row>
    <row r="65" spans="2:2" x14ac:dyDescent="0.2">
      <c r="B65" t="s">
        <v>20</v>
      </c>
    </row>
    <row r="66" spans="2:2" x14ac:dyDescent="0.2">
      <c r="B66" t="s">
        <v>20</v>
      </c>
    </row>
    <row r="67" spans="2:2" x14ac:dyDescent="0.2">
      <c r="B67" t="s">
        <v>20</v>
      </c>
    </row>
    <row r="68" spans="2:2" x14ac:dyDescent="0.2">
      <c r="B68" t="s">
        <v>20</v>
      </c>
    </row>
    <row r="69" spans="2:2" x14ac:dyDescent="0.2">
      <c r="B69" t="s">
        <v>20</v>
      </c>
    </row>
    <row r="70" spans="2:2" x14ac:dyDescent="0.2">
      <c r="B70" t="s">
        <v>20</v>
      </c>
    </row>
    <row r="71" spans="2:2" x14ac:dyDescent="0.2">
      <c r="B71" t="s">
        <v>20</v>
      </c>
    </row>
    <row r="72" spans="2:2" x14ac:dyDescent="0.2">
      <c r="B72" t="s">
        <v>20</v>
      </c>
    </row>
    <row r="73" spans="2:2" x14ac:dyDescent="0.2">
      <c r="B73" t="s">
        <v>20</v>
      </c>
    </row>
    <row r="74" spans="2:2" x14ac:dyDescent="0.2">
      <c r="B74" t="s">
        <v>20</v>
      </c>
    </row>
    <row r="75" spans="2:2" x14ac:dyDescent="0.2">
      <c r="B75" t="s">
        <v>20</v>
      </c>
    </row>
    <row r="76" spans="2:2" x14ac:dyDescent="0.2">
      <c r="B76" t="s">
        <v>20</v>
      </c>
    </row>
  </sheetData>
  <mergeCells count="6">
    <mergeCell ref="A1:O2"/>
    <mergeCell ref="A3:A4"/>
    <mergeCell ref="D3:H3"/>
    <mergeCell ref="I3:M3"/>
    <mergeCell ref="N3:N4"/>
    <mergeCell ref="O3:O4"/>
  </mergeCells>
  <conditionalFormatting sqref="D5:D30 I5:I30 M5:M55 D32:D55 I32:I55">
    <cfRule type="cellIs" dxfId="4" priority="1" stopIfTrue="1" operator="greaterThan">
      <formula>0</formula>
    </cfRule>
  </conditionalFormatting>
  <printOptions horizontalCentered="1" verticalCentered="1"/>
  <pageMargins left="0.17986111111111111" right="0.17986111111111111" top="0.98402777777777772" bottom="0.98402777777777772" header="0.51180555555555551" footer="0.51180555555555551"/>
  <pageSetup paperSize="9" firstPageNumber="0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B24CF-72E7-4A2A-A77E-8F5342D2A464}">
  <sheetPr codeName="Feuil12">
    <pageSetUpPr fitToPage="1"/>
  </sheetPr>
  <dimension ref="A1:P28"/>
  <sheetViews>
    <sheetView zoomScale="85" zoomScaleNormal="100" workbookViewId="0"/>
  </sheetViews>
  <sheetFormatPr defaultRowHeight="12.75" x14ac:dyDescent="0.2"/>
  <cols>
    <col min="1" max="1" width="49.5703125" bestFit="1" customWidth="1"/>
    <col min="2" max="2" width="16" bestFit="1" customWidth="1"/>
    <col min="3" max="3" width="10.140625" style="1" bestFit="1" customWidth="1"/>
    <col min="4" max="4" width="8.5703125" style="1" bestFit="1" customWidth="1"/>
    <col min="5" max="5" width="12" style="1" bestFit="1" customWidth="1"/>
    <col min="6" max="6" width="5" style="1" bestFit="1" customWidth="1"/>
    <col min="7" max="7" width="8.85546875" style="1" bestFit="1" customWidth="1"/>
    <col min="8" max="8" width="9.140625" style="1" bestFit="1" customWidth="1"/>
    <col min="9" max="9" width="12" style="1" bestFit="1" customWidth="1"/>
    <col min="10" max="10" width="24.140625" style="1" bestFit="1" customWidth="1"/>
    <col min="11" max="12" width="12" style="1" bestFit="1" customWidth="1"/>
    <col min="13" max="13" width="24.140625" style="1" bestFit="1" customWidth="1"/>
    <col min="14" max="14" width="21.28515625" style="1" bestFit="1" customWidth="1"/>
    <col min="15" max="15" width="14.85546875" bestFit="1" customWidth="1"/>
    <col min="16" max="256" width="9.140625" bestFit="1" customWidth="1"/>
  </cols>
  <sheetData>
    <row r="1" spans="1:16" ht="20.25" x14ac:dyDescent="0.2">
      <c r="A1" s="352" t="s">
        <v>0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"/>
    </row>
    <row r="2" spans="1:16" ht="20.25" x14ac:dyDescent="0.2">
      <c r="A2" s="340"/>
      <c r="B2" s="340"/>
      <c r="C2" s="340"/>
      <c r="D2" s="340"/>
      <c r="E2" s="340"/>
      <c r="F2" s="340"/>
      <c r="G2" s="340"/>
      <c r="H2" s="340"/>
      <c r="I2" s="340"/>
      <c r="J2" s="340"/>
      <c r="K2" s="340"/>
      <c r="L2" s="340"/>
      <c r="M2" s="340"/>
      <c r="N2" s="340"/>
      <c r="O2" s="3"/>
    </row>
    <row r="3" spans="1:16" ht="20.25" x14ac:dyDescent="0.2">
      <c r="A3" s="4"/>
      <c r="B3" s="353" t="s">
        <v>1</v>
      </c>
      <c r="C3" s="353"/>
      <c r="D3" s="353"/>
      <c r="E3" s="353"/>
      <c r="F3" s="353"/>
      <c r="G3" s="353"/>
      <c r="H3" s="353"/>
      <c r="I3" s="353"/>
      <c r="J3" s="353"/>
      <c r="K3" s="342" t="s">
        <v>2</v>
      </c>
      <c r="L3" s="342"/>
      <c r="M3" s="342"/>
      <c r="N3" s="5" t="s">
        <v>3</v>
      </c>
      <c r="O3" s="6" t="s">
        <v>4</v>
      </c>
    </row>
    <row r="4" spans="1:16" ht="31.5" x14ac:dyDescent="0.2">
      <c r="A4" s="7" t="s">
        <v>384</v>
      </c>
      <c r="B4" s="131" t="s">
        <v>6</v>
      </c>
      <c r="C4" s="132" t="s">
        <v>7</v>
      </c>
      <c r="D4" s="132" t="s">
        <v>8</v>
      </c>
      <c r="E4" s="132" t="s">
        <v>9</v>
      </c>
      <c r="F4" s="132" t="s">
        <v>10</v>
      </c>
      <c r="G4" s="132" t="s">
        <v>11</v>
      </c>
      <c r="H4" s="132" t="s">
        <v>12</v>
      </c>
      <c r="I4" s="132" t="s">
        <v>13</v>
      </c>
      <c r="J4" s="13" t="s">
        <v>14</v>
      </c>
      <c r="K4" s="133" t="s">
        <v>15</v>
      </c>
      <c r="L4" s="120" t="s">
        <v>16</v>
      </c>
      <c r="M4" s="134" t="s">
        <v>14</v>
      </c>
      <c r="N4" s="135" t="s">
        <v>17</v>
      </c>
      <c r="O4" s="14" t="s">
        <v>18</v>
      </c>
      <c r="P4" s="15"/>
    </row>
    <row r="5" spans="1:16" x14ac:dyDescent="0.2">
      <c r="A5" s="17" t="s">
        <v>385</v>
      </c>
      <c r="B5" s="316" t="s">
        <v>20</v>
      </c>
      <c r="C5" s="316">
        <v>35</v>
      </c>
      <c r="D5" s="316">
        <v>0</v>
      </c>
      <c r="E5" s="316">
        <v>86</v>
      </c>
      <c r="F5" s="316">
        <v>0</v>
      </c>
      <c r="G5" s="316">
        <v>0</v>
      </c>
      <c r="H5" s="316">
        <v>13</v>
      </c>
      <c r="I5" s="316">
        <v>99</v>
      </c>
      <c r="J5" s="196"/>
      <c r="K5" s="316">
        <v>86</v>
      </c>
      <c r="L5" s="316">
        <v>0</v>
      </c>
      <c r="M5" s="198"/>
      <c r="N5" s="316" t="s">
        <v>22</v>
      </c>
      <c r="O5" s="128">
        <f>K5-E5</f>
        <v>0</v>
      </c>
    </row>
    <row r="6" spans="1:16" x14ac:dyDescent="0.2">
      <c r="A6" s="25" t="s">
        <v>386</v>
      </c>
      <c r="B6" s="315" t="s">
        <v>20</v>
      </c>
      <c r="C6" s="315">
        <v>396</v>
      </c>
      <c r="D6" s="315">
        <v>0</v>
      </c>
      <c r="E6" s="315">
        <v>376</v>
      </c>
      <c r="F6" s="315">
        <v>0</v>
      </c>
      <c r="G6" s="315">
        <v>0</v>
      </c>
      <c r="H6" s="315">
        <v>48</v>
      </c>
      <c r="I6" s="315">
        <v>684</v>
      </c>
      <c r="J6" s="171"/>
      <c r="K6" s="315">
        <v>376</v>
      </c>
      <c r="L6" s="315">
        <v>0</v>
      </c>
      <c r="M6" s="172"/>
      <c r="N6" s="315" t="s">
        <v>22</v>
      </c>
      <c r="O6" s="136">
        <v>0</v>
      </c>
    </row>
    <row r="7" spans="1:16" ht="15.75" x14ac:dyDescent="0.25">
      <c r="A7" s="99" t="s">
        <v>33</v>
      </c>
      <c r="B7" s="25"/>
      <c r="C7" s="62">
        <f>SUM(C5:C6)</f>
        <v>431</v>
      </c>
      <c r="D7" s="62">
        <f>SUM($D$5:$D$6)</f>
        <v>0</v>
      </c>
      <c r="E7" s="62">
        <f>SUM($E$5:$E$6)</f>
        <v>462</v>
      </c>
      <c r="F7" s="62">
        <f>SUM($F$5:$F$6)</f>
        <v>0</v>
      </c>
      <c r="G7" s="62">
        <f>SUM($G$5:$G$6)</f>
        <v>0</v>
      </c>
      <c r="H7" s="62">
        <f>SUM($H$5:$H$6)</f>
        <v>61</v>
      </c>
      <c r="I7" s="62">
        <f>SUM($I$5:$I$6)</f>
        <v>783</v>
      </c>
      <c r="J7" s="113"/>
      <c r="K7" s="112">
        <f>SUM(K5:K6)</f>
        <v>462</v>
      </c>
      <c r="L7" s="112">
        <f>SUM(L5:L6)</f>
        <v>0</v>
      </c>
      <c r="M7" s="114"/>
      <c r="N7" s="115"/>
      <c r="O7" s="112">
        <f>SUM(O5:O6)</f>
        <v>0</v>
      </c>
    </row>
    <row r="8" spans="1:16" x14ac:dyDescent="0.2">
      <c r="A8" s="25"/>
      <c r="B8" s="25"/>
      <c r="C8" s="19"/>
      <c r="D8" s="18"/>
      <c r="E8" s="18"/>
      <c r="F8" s="18"/>
      <c r="G8" s="18"/>
      <c r="H8" s="18"/>
      <c r="I8" s="18"/>
      <c r="J8" s="195"/>
      <c r="K8" s="18"/>
      <c r="L8" s="18"/>
      <c r="M8" s="170"/>
      <c r="N8" s="29"/>
      <c r="O8" s="30"/>
    </row>
    <row r="9" spans="1:16" x14ac:dyDescent="0.2">
      <c r="A9" s="31"/>
      <c r="B9" s="25"/>
      <c r="C9" s="18"/>
      <c r="D9" s="18"/>
      <c r="E9" s="18"/>
      <c r="F9" s="18"/>
      <c r="G9" s="18"/>
      <c r="H9" s="18"/>
      <c r="I9" s="18"/>
      <c r="J9" s="195"/>
      <c r="K9" s="18"/>
      <c r="L9" s="18"/>
      <c r="M9" s="170"/>
      <c r="N9" s="29"/>
      <c r="O9" s="30"/>
    </row>
    <row r="10" spans="1:16" x14ac:dyDescent="0.2">
      <c r="A10" s="98" t="s">
        <v>387</v>
      </c>
      <c r="B10" s="185"/>
      <c r="C10" s="186"/>
      <c r="D10" s="187"/>
      <c r="E10" s="186"/>
      <c r="F10" s="188"/>
      <c r="G10" s="186"/>
      <c r="H10" s="188"/>
      <c r="I10" s="186"/>
      <c r="J10" s="251"/>
      <c r="K10" s="188"/>
      <c r="L10" s="186"/>
      <c r="M10" s="198"/>
      <c r="N10" s="189"/>
      <c r="O10" s="128">
        <v>0</v>
      </c>
    </row>
    <row r="11" spans="1:16" x14ac:dyDescent="0.2">
      <c r="A11" s="98" t="s">
        <v>388</v>
      </c>
      <c r="B11" s="173"/>
      <c r="C11" s="174"/>
      <c r="D11" s="175"/>
      <c r="E11" s="174"/>
      <c r="F11" s="176"/>
      <c r="G11" s="174"/>
      <c r="H11" s="176"/>
      <c r="I11" s="174"/>
      <c r="J11" s="168"/>
      <c r="K11" s="176"/>
      <c r="L11" s="174"/>
      <c r="M11" s="170"/>
      <c r="N11" s="179"/>
      <c r="O11" s="124">
        <v>0</v>
      </c>
    </row>
    <row r="12" spans="1:16" x14ac:dyDescent="0.2">
      <c r="A12" s="22" t="s">
        <v>389</v>
      </c>
      <c r="B12" s="180"/>
      <c r="C12" s="181"/>
      <c r="D12" s="182"/>
      <c r="E12" s="181"/>
      <c r="F12" s="183"/>
      <c r="G12" s="181"/>
      <c r="H12" s="183"/>
      <c r="I12" s="181"/>
      <c r="J12" s="197"/>
      <c r="K12" s="183"/>
      <c r="L12" s="181"/>
      <c r="M12" s="172"/>
      <c r="N12" s="184"/>
      <c r="O12" s="125">
        <f>K12-E12</f>
        <v>0</v>
      </c>
    </row>
    <row r="13" spans="1:16" ht="15.75" x14ac:dyDescent="0.25">
      <c r="A13" s="36" t="s">
        <v>33</v>
      </c>
      <c r="B13" s="2"/>
      <c r="C13" s="37">
        <f>SUM($C$10:$C$12)</f>
        <v>0</v>
      </c>
      <c r="D13" s="37">
        <f>SUM($D$10:$D$12)</f>
        <v>0</v>
      </c>
      <c r="E13" s="37">
        <f>SUM($E$10:$E$12)</f>
        <v>0</v>
      </c>
      <c r="F13" s="37">
        <f>SUM($F$10:$F$12)</f>
        <v>0</v>
      </c>
      <c r="G13" s="37">
        <f>SUM($G$10:$G$12)</f>
        <v>0</v>
      </c>
      <c r="H13" s="37">
        <f>SUM($H$10:$H$12)</f>
        <v>0</v>
      </c>
      <c r="I13" s="37">
        <f>SUM($I$10:$I$12)</f>
        <v>0</v>
      </c>
      <c r="J13" s="38"/>
      <c r="K13" s="37">
        <f>SUM(K10:K12)</f>
        <v>0</v>
      </c>
      <c r="L13" s="37">
        <f>SUM(L10:L12)</f>
        <v>0</v>
      </c>
      <c r="M13" s="126"/>
      <c r="N13" s="69"/>
      <c r="O13" s="37">
        <f>SUM(O10:O12)</f>
        <v>0</v>
      </c>
    </row>
    <row r="14" spans="1:16" x14ac:dyDescent="0.2">
      <c r="J14" s="18"/>
      <c r="M14" s="252"/>
    </row>
    <row r="15" spans="1:16" x14ac:dyDescent="0.2">
      <c r="M15" s="252"/>
    </row>
    <row r="16" spans="1:16" ht="15.75" x14ac:dyDescent="0.25">
      <c r="A16" s="24" t="s">
        <v>54</v>
      </c>
      <c r="C16" s="39">
        <f t="shared" ref="C16:I16" si="0">SUM(C7,C13)</f>
        <v>431</v>
      </c>
      <c r="D16" s="39">
        <f t="shared" si="0"/>
        <v>0</v>
      </c>
      <c r="E16" s="39">
        <f t="shared" si="0"/>
        <v>462</v>
      </c>
      <c r="F16" s="39">
        <f t="shared" si="0"/>
        <v>0</v>
      </c>
      <c r="G16" s="39">
        <f t="shared" si="0"/>
        <v>0</v>
      </c>
      <c r="H16" s="39">
        <f t="shared" si="0"/>
        <v>61</v>
      </c>
      <c r="I16" s="39">
        <f t="shared" si="0"/>
        <v>783</v>
      </c>
      <c r="J16" s="40"/>
      <c r="K16" s="39">
        <f>SUM(K7,K13)</f>
        <v>462</v>
      </c>
      <c r="L16" s="39">
        <f>SUM(L7,L13)</f>
        <v>0</v>
      </c>
      <c r="M16" s="142"/>
      <c r="N16" s="69"/>
      <c r="O16" s="39">
        <f>SUM(O7,O13)</f>
        <v>0</v>
      </c>
    </row>
    <row r="27" spans="1:1" x14ac:dyDescent="0.2">
      <c r="A27" s="63"/>
    </row>
    <row r="28" spans="1:1" x14ac:dyDescent="0.2">
      <c r="A28" s="63"/>
    </row>
  </sheetData>
  <mergeCells count="3">
    <mergeCell ref="A1:N2"/>
    <mergeCell ref="B3:J3"/>
    <mergeCell ref="K3:M3"/>
  </mergeCells>
  <conditionalFormatting sqref="D5:D6 L5:M6 D8:D12 L8:M12">
    <cfRule type="cellIs" dxfId="3" priority="1" stopIfTrue="1" operator="greaterThan">
      <formula>0</formula>
    </cfRule>
  </conditionalFormatting>
  <printOptions horizontalCentered="1" verticalCentered="1"/>
  <pageMargins left="0.17986111111111111" right="0.17986111111111111" top="0.98402777777777772" bottom="0.98402777777777772" header="0.51180555555555551" footer="0.51180555555555551"/>
  <pageSetup paperSize="9" firstPageNumber="0" orientation="landscape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05852-B05D-4E9E-AAD4-AF0AD281F974}">
  <sheetPr codeName="Feuil11">
    <pageSetUpPr fitToPage="1"/>
  </sheetPr>
  <dimension ref="A1:P61"/>
  <sheetViews>
    <sheetView zoomScale="85" zoomScaleNormal="100" workbookViewId="0"/>
  </sheetViews>
  <sheetFormatPr defaultRowHeight="12.75" x14ac:dyDescent="0.2"/>
  <cols>
    <col min="1" max="1" width="55.85546875" bestFit="1" customWidth="1"/>
    <col min="2" max="2" width="0" hidden="1" bestFit="1" customWidth="1"/>
    <col min="3" max="3" width="25.5703125" style="1" bestFit="1" customWidth="1"/>
    <col min="4" max="4" width="12" style="1" bestFit="1" customWidth="1"/>
    <col min="5" max="5" width="23.5703125" style="1" bestFit="1" customWidth="1"/>
    <col min="6" max="6" width="0" style="1" hidden="1" bestFit="1" customWidth="1"/>
    <col min="7" max="7" width="9" style="1" bestFit="1" customWidth="1"/>
    <col min="8" max="8" width="22" bestFit="1" customWidth="1"/>
    <col min="9" max="9" width="9.140625" bestFit="1" customWidth="1"/>
    <col min="10" max="10" width="10.28515625" bestFit="1" customWidth="1"/>
    <col min="11" max="12" width="16.5703125" bestFit="1" customWidth="1"/>
    <col min="13" max="13" width="22" bestFit="1" customWidth="1"/>
    <col min="14" max="14" width="17.7109375" bestFit="1" customWidth="1"/>
    <col min="15" max="15" width="25.42578125" bestFit="1" customWidth="1"/>
    <col min="16" max="256" width="9.140625" bestFit="1" customWidth="1"/>
  </cols>
  <sheetData>
    <row r="1" spans="1:16" ht="20.25" x14ac:dyDescent="0.2">
      <c r="A1" s="352" t="s">
        <v>449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41"/>
    </row>
    <row r="2" spans="1:16" ht="20.25" x14ac:dyDescent="0.2">
      <c r="A2" s="343"/>
      <c r="B2" s="343"/>
      <c r="C2" s="343"/>
      <c r="D2" s="343"/>
      <c r="E2" s="343"/>
      <c r="F2" s="343"/>
      <c r="G2" s="343"/>
      <c r="H2" s="343"/>
      <c r="I2" s="340"/>
      <c r="J2" s="340"/>
      <c r="K2" s="340"/>
      <c r="L2" s="340"/>
      <c r="M2" s="340"/>
      <c r="N2" s="340"/>
      <c r="O2" s="340"/>
      <c r="P2" s="41"/>
    </row>
    <row r="3" spans="1:16" ht="64.5" customHeight="1" x14ac:dyDescent="0.2">
      <c r="A3" s="344" t="s">
        <v>384</v>
      </c>
      <c r="B3" s="42" t="s">
        <v>55</v>
      </c>
      <c r="C3" s="43" t="s">
        <v>56</v>
      </c>
      <c r="D3" s="345" t="s">
        <v>57</v>
      </c>
      <c r="E3" s="345"/>
      <c r="F3" s="345"/>
      <c r="G3" s="345"/>
      <c r="H3" s="357"/>
      <c r="I3" s="358" t="s">
        <v>58</v>
      </c>
      <c r="J3" s="359"/>
      <c r="K3" s="359"/>
      <c r="L3" s="359"/>
      <c r="M3" s="359"/>
      <c r="N3" s="360" t="s">
        <v>59</v>
      </c>
      <c r="O3" s="362" t="s">
        <v>60</v>
      </c>
    </row>
    <row r="4" spans="1:16" ht="15.75" x14ac:dyDescent="0.2">
      <c r="A4" s="356"/>
      <c r="B4" s="97" t="s">
        <v>61</v>
      </c>
      <c r="C4" s="46" t="s">
        <v>62</v>
      </c>
      <c r="D4" s="46" t="s">
        <v>16</v>
      </c>
      <c r="E4" s="46" t="s">
        <v>63</v>
      </c>
      <c r="F4" s="46" t="s">
        <v>64</v>
      </c>
      <c r="G4" s="46" t="s">
        <v>65</v>
      </c>
      <c r="H4" s="139" t="s">
        <v>14</v>
      </c>
      <c r="I4" s="140" t="s">
        <v>16</v>
      </c>
      <c r="J4" s="46" t="s">
        <v>66</v>
      </c>
      <c r="K4" s="48" t="s">
        <v>67</v>
      </c>
      <c r="L4" s="46" t="s">
        <v>65</v>
      </c>
      <c r="M4" s="141" t="s">
        <v>14</v>
      </c>
      <c r="N4" s="361"/>
      <c r="O4" s="363"/>
    </row>
    <row r="5" spans="1:16" x14ac:dyDescent="0.2">
      <c r="A5" s="103" t="s">
        <v>390</v>
      </c>
      <c r="B5" s="17"/>
      <c r="C5" s="316">
        <v>104</v>
      </c>
      <c r="D5" s="316">
        <v>0</v>
      </c>
      <c r="E5" s="316">
        <v>104</v>
      </c>
      <c r="F5" s="316">
        <v>0</v>
      </c>
      <c r="G5" s="253"/>
      <c r="H5" s="262"/>
      <c r="I5" s="316">
        <v>0</v>
      </c>
      <c r="J5" s="253"/>
      <c r="K5" s="316">
        <v>104</v>
      </c>
      <c r="L5" s="253"/>
      <c r="M5" s="264"/>
      <c r="N5" s="316">
        <v>104</v>
      </c>
      <c r="O5" s="316" t="s">
        <v>454</v>
      </c>
    </row>
    <row r="6" spans="1:16" x14ac:dyDescent="0.2">
      <c r="A6" s="96" t="s">
        <v>391</v>
      </c>
      <c r="B6" s="17"/>
      <c r="C6" s="315">
        <v>376</v>
      </c>
      <c r="D6" s="315">
        <v>0</v>
      </c>
      <c r="E6" s="315">
        <v>376</v>
      </c>
      <c r="F6" s="315">
        <v>0</v>
      </c>
      <c r="G6" s="191"/>
      <c r="H6" s="220"/>
      <c r="I6" s="315">
        <v>0</v>
      </c>
      <c r="J6" s="191"/>
      <c r="K6" s="315">
        <v>376</v>
      </c>
      <c r="L6" s="191"/>
      <c r="M6" s="223"/>
      <c r="N6" s="315">
        <v>376</v>
      </c>
      <c r="O6" s="315" t="s">
        <v>450</v>
      </c>
    </row>
    <row r="7" spans="1:16" x14ac:dyDescent="0.2">
      <c r="A7" s="53" t="s">
        <v>392</v>
      </c>
      <c r="B7" s="17"/>
      <c r="C7" s="315">
        <v>6</v>
      </c>
      <c r="D7" s="315">
        <v>0</v>
      </c>
      <c r="E7" s="315">
        <v>36</v>
      </c>
      <c r="F7" s="315">
        <v>0</v>
      </c>
      <c r="G7" s="194"/>
      <c r="H7" s="218"/>
      <c r="I7" s="315">
        <v>0</v>
      </c>
      <c r="J7" s="191"/>
      <c r="K7" s="315">
        <v>36</v>
      </c>
      <c r="L7" s="194"/>
      <c r="M7" s="224"/>
      <c r="N7" s="315">
        <v>44</v>
      </c>
      <c r="O7" s="315" t="s">
        <v>451</v>
      </c>
    </row>
    <row r="8" spans="1:16" x14ac:dyDescent="0.2">
      <c r="A8" s="96" t="s">
        <v>393</v>
      </c>
      <c r="B8" s="17"/>
      <c r="C8" s="315">
        <v>86</v>
      </c>
      <c r="D8" s="315">
        <v>0</v>
      </c>
      <c r="E8" s="315">
        <v>86</v>
      </c>
      <c r="F8" s="315">
        <v>0</v>
      </c>
      <c r="G8" s="191"/>
      <c r="H8" s="218"/>
      <c r="I8" s="315">
        <v>0</v>
      </c>
      <c r="J8" s="191"/>
      <c r="K8" s="315">
        <v>86</v>
      </c>
      <c r="L8" s="191"/>
      <c r="M8" s="223"/>
      <c r="N8" s="315">
        <v>91</v>
      </c>
      <c r="O8" s="315" t="s">
        <v>452</v>
      </c>
    </row>
    <row r="9" spans="1:16" x14ac:dyDescent="0.2">
      <c r="A9" s="17" t="s">
        <v>394</v>
      </c>
      <c r="B9" s="17"/>
      <c r="C9" s="315">
        <v>72</v>
      </c>
      <c r="D9" s="315">
        <v>0</v>
      </c>
      <c r="E9" s="315">
        <v>140</v>
      </c>
      <c r="F9" s="315">
        <v>36</v>
      </c>
      <c r="G9" s="194"/>
      <c r="H9" s="218"/>
      <c r="I9" s="315">
        <v>0</v>
      </c>
      <c r="J9" s="194"/>
      <c r="K9" s="315">
        <v>140</v>
      </c>
      <c r="L9" s="194"/>
      <c r="M9" s="218"/>
      <c r="N9" s="315">
        <v>178</v>
      </c>
      <c r="O9" s="315" t="s">
        <v>453</v>
      </c>
    </row>
    <row r="10" spans="1:16" x14ac:dyDescent="0.2">
      <c r="A10" s="145" t="s">
        <v>395</v>
      </c>
      <c r="B10" t="s">
        <v>20</v>
      </c>
      <c r="C10" s="301"/>
      <c r="D10" s="233"/>
      <c r="E10" s="302"/>
      <c r="F10" s="302"/>
      <c r="G10" s="302"/>
      <c r="H10" s="250"/>
      <c r="I10" s="233"/>
      <c r="J10" s="302"/>
      <c r="K10" s="232"/>
      <c r="L10" s="302"/>
      <c r="M10" s="250"/>
      <c r="N10" s="234"/>
      <c r="O10" s="300"/>
    </row>
    <row r="11" spans="1:16" x14ac:dyDescent="0.2">
      <c r="A11" s="145" t="s">
        <v>396</v>
      </c>
      <c r="B11" t="s">
        <v>20</v>
      </c>
      <c r="C11" s="301"/>
      <c r="D11" s="233"/>
      <c r="E11" s="302"/>
      <c r="F11" s="302"/>
      <c r="G11" s="302"/>
      <c r="H11" s="250"/>
      <c r="I11" s="233"/>
      <c r="J11" s="302"/>
      <c r="K11" s="232"/>
      <c r="L11" s="302"/>
      <c r="M11" s="250"/>
      <c r="N11" s="234"/>
      <c r="O11" s="300"/>
    </row>
    <row r="12" spans="1:16" x14ac:dyDescent="0.2">
      <c r="A12" s="145" t="s">
        <v>397</v>
      </c>
      <c r="B12" t="s">
        <v>20</v>
      </c>
      <c r="C12" s="301"/>
      <c r="D12" s="233"/>
      <c r="E12" s="302"/>
      <c r="F12" s="302"/>
      <c r="G12" s="302"/>
      <c r="H12" s="250"/>
      <c r="I12" s="233"/>
      <c r="J12" s="302"/>
      <c r="K12" s="232"/>
      <c r="L12" s="302"/>
      <c r="M12" s="250"/>
      <c r="N12" s="234"/>
      <c r="O12" s="300"/>
    </row>
    <row r="13" spans="1:16" x14ac:dyDescent="0.2">
      <c r="A13" s="145" t="s">
        <v>398</v>
      </c>
      <c r="B13" t="s">
        <v>20</v>
      </c>
      <c r="C13" s="301"/>
      <c r="D13" s="233"/>
      <c r="E13" s="302"/>
      <c r="F13" s="302"/>
      <c r="G13" s="302"/>
      <c r="H13" s="250"/>
      <c r="I13" s="233"/>
      <c r="J13" s="302"/>
      <c r="K13" s="232"/>
      <c r="L13" s="302"/>
      <c r="M13" s="250"/>
      <c r="N13" s="234"/>
      <c r="O13" s="300"/>
    </row>
    <row r="14" spans="1:16" x14ac:dyDescent="0.2">
      <c r="A14" s="145" t="s">
        <v>399</v>
      </c>
      <c r="B14" t="s">
        <v>20</v>
      </c>
      <c r="C14" s="301"/>
      <c r="D14" s="233"/>
      <c r="E14" s="302"/>
      <c r="F14" s="302"/>
      <c r="G14" s="302"/>
      <c r="H14" s="250"/>
      <c r="I14" s="233"/>
      <c r="J14" s="302"/>
      <c r="K14" s="232"/>
      <c r="L14" s="302"/>
      <c r="M14" s="250"/>
      <c r="N14" s="234"/>
      <c r="O14" s="300"/>
    </row>
    <row r="15" spans="1:16" x14ac:dyDescent="0.2">
      <c r="A15" s="145" t="s">
        <v>400</v>
      </c>
      <c r="B15" t="s">
        <v>20</v>
      </c>
      <c r="C15" s="301"/>
      <c r="D15" s="233"/>
      <c r="E15" s="302"/>
      <c r="F15" s="302"/>
      <c r="G15" s="302"/>
      <c r="H15" s="250"/>
      <c r="I15" s="233"/>
      <c r="J15" s="302"/>
      <c r="K15" s="232"/>
      <c r="L15" s="302"/>
      <c r="M15" s="250"/>
      <c r="N15" s="234"/>
      <c r="O15" s="300"/>
    </row>
    <row r="16" spans="1:16" x14ac:dyDescent="0.2">
      <c r="A16" s="145" t="s">
        <v>401</v>
      </c>
      <c r="B16" t="s">
        <v>20</v>
      </c>
      <c r="C16" s="301"/>
      <c r="D16" s="233"/>
      <c r="E16" s="302"/>
      <c r="F16" s="302"/>
      <c r="G16" s="302"/>
      <c r="H16" s="250"/>
      <c r="I16" s="233"/>
      <c r="J16" s="302"/>
      <c r="K16" s="232"/>
      <c r="L16" s="302"/>
      <c r="M16" s="250"/>
      <c r="N16" s="234"/>
      <c r="O16" s="300"/>
    </row>
    <row r="17" spans="1:16" x14ac:dyDescent="0.2">
      <c r="A17" s="145" t="s">
        <v>402</v>
      </c>
      <c r="B17" t="s">
        <v>20</v>
      </c>
      <c r="C17" s="301"/>
      <c r="D17" s="233"/>
      <c r="E17" s="302"/>
      <c r="F17" s="302"/>
      <c r="G17" s="302"/>
      <c r="H17" s="219"/>
      <c r="I17" s="233"/>
      <c r="J17" s="302"/>
      <c r="K17" s="232"/>
      <c r="L17" s="302"/>
      <c r="M17" s="250"/>
      <c r="N17" s="234"/>
      <c r="O17" s="300"/>
    </row>
    <row r="18" spans="1:16" x14ac:dyDescent="0.2">
      <c r="A18" s="145" t="s">
        <v>403</v>
      </c>
      <c r="B18" t="s">
        <v>20</v>
      </c>
      <c r="C18" s="301"/>
      <c r="D18" s="233"/>
      <c r="E18" s="302"/>
      <c r="F18" s="302"/>
      <c r="G18" s="302"/>
      <c r="H18" s="250"/>
      <c r="I18" s="233"/>
      <c r="J18" s="302"/>
      <c r="K18" s="232"/>
      <c r="L18" s="302"/>
      <c r="M18" s="250"/>
      <c r="N18" s="234"/>
      <c r="O18" s="234"/>
    </row>
    <row r="19" spans="1:16" ht="15.75" x14ac:dyDescent="0.25">
      <c r="A19" s="36" t="s">
        <v>33</v>
      </c>
      <c r="B19" s="56"/>
      <c r="C19" s="308">
        <f>SUM(C5:C18)</f>
        <v>644</v>
      </c>
      <c r="D19" s="309">
        <f>SUM(D5:D18)</f>
        <v>0</v>
      </c>
      <c r="E19" s="309">
        <f>SUM(E5:E18)</f>
        <v>742</v>
      </c>
      <c r="F19" s="309">
        <f>SUM(F5:F9)</f>
        <v>36</v>
      </c>
      <c r="G19" s="310">
        <f>SUM(G5:G18)</f>
        <v>0</v>
      </c>
      <c r="H19" s="217"/>
      <c r="I19" s="311">
        <f>SUM(I5:I18)</f>
        <v>0</v>
      </c>
      <c r="J19" s="311">
        <f>SUM(J5:J18)</f>
        <v>0</v>
      </c>
      <c r="K19" s="311">
        <f>SUM(K5:K18)</f>
        <v>742</v>
      </c>
      <c r="L19" s="312">
        <f>SUM(L5:L18)</f>
        <v>0</v>
      </c>
      <c r="M19" s="217"/>
      <c r="N19" s="313">
        <f>SUM(N5:N18)</f>
        <v>793</v>
      </c>
      <c r="O19" s="314"/>
      <c r="P19" s="63"/>
    </row>
    <row r="20" spans="1:16" x14ac:dyDescent="0.2">
      <c r="A20" s="25"/>
      <c r="B20" t="s">
        <v>20</v>
      </c>
      <c r="C20" s="138"/>
      <c r="D20" s="18"/>
      <c r="E20" s="35"/>
      <c r="F20" s="35"/>
      <c r="G20" s="35"/>
      <c r="H20" s="219"/>
      <c r="I20" s="130"/>
      <c r="J20" s="35"/>
      <c r="K20" s="25"/>
      <c r="L20" s="35"/>
      <c r="M20" s="219"/>
      <c r="N20" s="25"/>
      <c r="O20" s="25"/>
    </row>
    <row r="21" spans="1:16" x14ac:dyDescent="0.2">
      <c r="A21" s="31"/>
      <c r="B21" t="s">
        <v>20</v>
      </c>
      <c r="C21" s="138"/>
      <c r="D21" s="18"/>
      <c r="E21" s="35"/>
      <c r="F21" s="137"/>
      <c r="G21" s="35"/>
      <c r="H21" s="219"/>
      <c r="I21" s="130"/>
      <c r="J21" s="35"/>
      <c r="K21" s="25"/>
      <c r="L21" s="35"/>
      <c r="M21" s="219"/>
      <c r="N21" s="25"/>
      <c r="O21" s="25"/>
      <c r="P21" s="63"/>
    </row>
    <row r="22" spans="1:16" x14ac:dyDescent="0.2">
      <c r="A22" s="103" t="s">
        <v>404</v>
      </c>
      <c r="B22" t="s">
        <v>20</v>
      </c>
      <c r="C22" s="258"/>
      <c r="D22" s="259"/>
      <c r="E22" s="260"/>
      <c r="F22" s="254"/>
      <c r="G22" s="260"/>
      <c r="H22" s="262"/>
      <c r="I22" s="259"/>
      <c r="J22" s="260"/>
      <c r="K22" s="186"/>
      <c r="L22" s="253"/>
      <c r="M22" s="265"/>
      <c r="N22" s="255"/>
      <c r="O22" s="256"/>
    </row>
    <row r="23" spans="1:16" x14ac:dyDescent="0.2">
      <c r="A23" s="96" t="s">
        <v>405</v>
      </c>
      <c r="B23" t="s">
        <v>20</v>
      </c>
      <c r="C23" s="257"/>
      <c r="D23" s="205"/>
      <c r="E23" s="194"/>
      <c r="F23" s="193"/>
      <c r="G23" s="194"/>
      <c r="H23" s="220"/>
      <c r="I23" s="205"/>
      <c r="J23" s="194"/>
      <c r="K23" s="174"/>
      <c r="L23" s="191"/>
      <c r="M23" s="218"/>
      <c r="N23" s="206"/>
      <c r="O23" s="212"/>
    </row>
    <row r="24" spans="1:16" x14ac:dyDescent="0.2">
      <c r="A24" s="96" t="s">
        <v>406</v>
      </c>
      <c r="B24" t="s">
        <v>20</v>
      </c>
      <c r="C24" s="257"/>
      <c r="D24" s="205"/>
      <c r="E24" s="194"/>
      <c r="F24" s="193"/>
      <c r="G24" s="194"/>
      <c r="H24" s="220"/>
      <c r="I24" s="205"/>
      <c r="J24" s="194"/>
      <c r="K24" s="174"/>
      <c r="L24" s="191"/>
      <c r="M24" s="218"/>
      <c r="N24" s="206"/>
      <c r="O24" s="212"/>
    </row>
    <row r="25" spans="1:16" x14ac:dyDescent="0.2">
      <c r="A25" s="96" t="s">
        <v>407</v>
      </c>
      <c r="B25" t="s">
        <v>20</v>
      </c>
      <c r="C25" s="257"/>
      <c r="D25" s="205"/>
      <c r="E25" s="194"/>
      <c r="F25" s="193"/>
      <c r="G25" s="194"/>
      <c r="H25" s="220"/>
      <c r="I25" s="205"/>
      <c r="J25" s="194"/>
      <c r="K25" s="174"/>
      <c r="L25" s="191"/>
      <c r="M25" s="218"/>
      <c r="N25" s="206"/>
      <c r="O25" s="212"/>
    </row>
    <row r="26" spans="1:16" x14ac:dyDescent="0.2">
      <c r="A26" s="103" t="s">
        <v>408</v>
      </c>
      <c r="B26" t="s">
        <v>20</v>
      </c>
      <c r="C26" s="257"/>
      <c r="D26" s="205"/>
      <c r="E26" s="194"/>
      <c r="F26" s="193"/>
      <c r="G26" s="194"/>
      <c r="H26" s="220"/>
      <c r="I26" s="205"/>
      <c r="J26" s="194"/>
      <c r="K26" s="174"/>
      <c r="L26" s="191"/>
      <c r="M26" s="218"/>
      <c r="N26" s="206"/>
      <c r="O26" s="212"/>
    </row>
    <row r="27" spans="1:16" x14ac:dyDescent="0.2">
      <c r="A27" s="96" t="s">
        <v>409</v>
      </c>
      <c r="B27" s="17"/>
      <c r="C27" s="315">
        <v>0</v>
      </c>
      <c r="D27" s="315">
        <v>0</v>
      </c>
      <c r="E27" s="315">
        <v>0</v>
      </c>
      <c r="F27" s="315">
        <v>0</v>
      </c>
      <c r="G27" s="194"/>
      <c r="H27" s="220"/>
      <c r="I27" s="315">
        <v>0</v>
      </c>
      <c r="J27" s="194"/>
      <c r="K27" s="315">
        <v>0</v>
      </c>
      <c r="L27" s="191"/>
      <c r="M27" s="218"/>
      <c r="N27" s="206"/>
      <c r="O27" s="315" t="s">
        <v>68</v>
      </c>
    </row>
    <row r="28" spans="1:16" x14ac:dyDescent="0.2">
      <c r="A28" s="96" t="s">
        <v>410</v>
      </c>
      <c r="B28" t="s">
        <v>20</v>
      </c>
      <c r="C28" s="257"/>
      <c r="D28" s="205"/>
      <c r="E28" s="194"/>
      <c r="F28" s="193"/>
      <c r="G28" s="194"/>
      <c r="H28" s="220"/>
      <c r="I28" s="205"/>
      <c r="J28" s="194"/>
      <c r="K28" s="174"/>
      <c r="L28" s="191"/>
      <c r="M28" s="218"/>
      <c r="N28" s="206"/>
      <c r="O28" s="212"/>
    </row>
    <row r="29" spans="1:16" x14ac:dyDescent="0.2">
      <c r="A29" s="103" t="s">
        <v>411</v>
      </c>
      <c r="B29" t="s">
        <v>20</v>
      </c>
      <c r="C29" s="257"/>
      <c r="D29" s="205"/>
      <c r="E29" s="194"/>
      <c r="F29" s="193"/>
      <c r="G29" s="194"/>
      <c r="H29" s="220"/>
      <c r="I29" s="205"/>
      <c r="J29" s="194"/>
      <c r="K29" s="174"/>
      <c r="L29" s="191"/>
      <c r="M29" s="218"/>
      <c r="N29" s="206"/>
      <c r="O29" s="212"/>
    </row>
    <row r="30" spans="1:16" x14ac:dyDescent="0.2">
      <c r="A30" s="103" t="s">
        <v>412</v>
      </c>
      <c r="B30" t="s">
        <v>20</v>
      </c>
      <c r="C30" s="257"/>
      <c r="D30" s="205"/>
      <c r="E30" s="194"/>
      <c r="F30" s="193"/>
      <c r="G30" s="194"/>
      <c r="H30" s="220"/>
      <c r="I30" s="205"/>
      <c r="J30" s="194"/>
      <c r="K30" s="174"/>
      <c r="L30" s="191"/>
      <c r="M30" s="218"/>
      <c r="N30" s="206"/>
      <c r="O30" s="212"/>
    </row>
    <row r="31" spans="1:16" x14ac:dyDescent="0.2">
      <c r="A31" s="103" t="s">
        <v>413</v>
      </c>
      <c r="B31" t="s">
        <v>20</v>
      </c>
      <c r="C31" s="257"/>
      <c r="D31" s="205"/>
      <c r="E31" s="194"/>
      <c r="F31" s="193"/>
      <c r="G31" s="194"/>
      <c r="H31" s="218"/>
      <c r="I31" s="205"/>
      <c r="J31" s="194"/>
      <c r="K31" s="174"/>
      <c r="L31" s="194"/>
      <c r="M31" s="218"/>
      <c r="N31" s="207"/>
      <c r="O31" s="212"/>
    </row>
    <row r="32" spans="1:16" x14ac:dyDescent="0.2">
      <c r="A32" s="304" t="s">
        <v>414</v>
      </c>
      <c r="B32" t="s">
        <v>20</v>
      </c>
      <c r="C32" s="261"/>
      <c r="D32" s="247"/>
      <c r="E32" s="213"/>
      <c r="F32" s="208"/>
      <c r="G32" s="213"/>
      <c r="H32" s="221"/>
      <c r="I32" s="247"/>
      <c r="J32" s="213"/>
      <c r="K32" s="181"/>
      <c r="L32" s="231"/>
      <c r="M32" s="221"/>
      <c r="N32" s="214"/>
      <c r="O32" s="249"/>
    </row>
    <row r="33" spans="1:14" s="63" customFormat="1" ht="15.75" x14ac:dyDescent="0.25">
      <c r="A33" s="2" t="s">
        <v>33</v>
      </c>
      <c r="B33"/>
      <c r="C33" s="62">
        <f>SUM(C22:C32)</f>
        <v>0</v>
      </c>
      <c r="D33" s="62">
        <f>SUM(D22:D32)</f>
        <v>0</v>
      </c>
      <c r="E33" s="62">
        <f>SUM(E22:E32)</f>
        <v>0</v>
      </c>
      <c r="F33" s="62">
        <f>SUM(F22:F32)</f>
        <v>0</v>
      </c>
      <c r="G33" s="62">
        <f>SUM(G22:G32)</f>
        <v>0</v>
      </c>
      <c r="H33" s="263"/>
      <c r="I33" s="62">
        <f>SUM(I22:I32)</f>
        <v>0</v>
      </c>
      <c r="J33" s="62">
        <f>SUM(J22:J32)</f>
        <v>0</v>
      </c>
      <c r="K33" s="62">
        <f>SUM(K22:K32)</f>
        <v>0</v>
      </c>
      <c r="L33" s="62">
        <f>SUM(L22:L32)</f>
        <v>0</v>
      </c>
      <c r="M33" s="263"/>
      <c r="N33" s="62">
        <f>SUM(N22:N32)</f>
        <v>0</v>
      </c>
    </row>
    <row r="34" spans="1:14" x14ac:dyDescent="0.2">
      <c r="B34" t="s">
        <v>20</v>
      </c>
      <c r="C34"/>
      <c r="D34"/>
      <c r="E34"/>
      <c r="F34"/>
      <c r="G34"/>
      <c r="N34" s="63"/>
    </row>
    <row r="35" spans="1:14" x14ac:dyDescent="0.2">
      <c r="B35" t="s">
        <v>20</v>
      </c>
      <c r="C35"/>
      <c r="D35"/>
      <c r="E35"/>
      <c r="F35" s="24"/>
      <c r="G35"/>
      <c r="N35" s="63"/>
    </row>
    <row r="36" spans="1:14" ht="15.75" x14ac:dyDescent="0.25">
      <c r="A36" s="2" t="s">
        <v>54</v>
      </c>
      <c r="C36" s="57">
        <f>SUM(C19,C33)</f>
        <v>644</v>
      </c>
      <c r="D36" s="57">
        <f>SUM(D19,D33)</f>
        <v>0</v>
      </c>
      <c r="E36" s="57">
        <f>SUM(E19,E33)</f>
        <v>742</v>
      </c>
      <c r="F36" s="57">
        <f>SUM(F19,F33)</f>
        <v>36</v>
      </c>
      <c r="G36" s="26">
        <f>SUM(G19,G33)</f>
        <v>0</v>
      </c>
      <c r="H36" s="30"/>
      <c r="I36" s="57">
        <f>SUM(I19,I33)</f>
        <v>0</v>
      </c>
      <c r="J36" s="57">
        <f>SUM(J19,J33)</f>
        <v>0</v>
      </c>
      <c r="K36" s="57">
        <f>SUM(K19,K33)</f>
        <v>742</v>
      </c>
      <c r="L36" s="26">
        <f>SUM(L19,L33)</f>
        <v>0</v>
      </c>
      <c r="M36" s="30"/>
      <c r="N36" s="26">
        <f>SUM(N19,N33)</f>
        <v>793</v>
      </c>
    </row>
    <row r="37" spans="1:14" x14ac:dyDescent="0.2">
      <c r="A37" s="25"/>
      <c r="B37" t="s">
        <v>20</v>
      </c>
      <c r="C37" s="25"/>
      <c r="D37" s="18"/>
      <c r="N37" s="63"/>
    </row>
    <row r="38" spans="1:14" x14ac:dyDescent="0.2">
      <c r="A38" s="25"/>
      <c r="B38" t="s">
        <v>20</v>
      </c>
      <c r="C38" s="25"/>
      <c r="D38" s="18"/>
      <c r="N38" s="63"/>
    </row>
    <row r="39" spans="1:14" x14ac:dyDescent="0.2">
      <c r="A39" s="25"/>
      <c r="B39" t="s">
        <v>20</v>
      </c>
      <c r="C39" s="25"/>
      <c r="D39" s="18"/>
      <c r="N39" s="63"/>
    </row>
    <row r="40" spans="1:14" x14ac:dyDescent="0.2">
      <c r="A40" s="17"/>
      <c r="B40" t="s">
        <v>20</v>
      </c>
      <c r="C40" s="25"/>
      <c r="D40" s="18"/>
      <c r="N40" s="63"/>
    </row>
    <row r="41" spans="1:14" x14ac:dyDescent="0.2">
      <c r="B41" t="s">
        <v>20</v>
      </c>
    </row>
    <row r="42" spans="1:14" x14ac:dyDescent="0.2">
      <c r="B42" t="s">
        <v>20</v>
      </c>
    </row>
    <row r="43" spans="1:14" x14ac:dyDescent="0.2">
      <c r="B43" t="s">
        <v>20</v>
      </c>
    </row>
    <row r="44" spans="1:14" x14ac:dyDescent="0.2">
      <c r="B44" t="s">
        <v>20</v>
      </c>
    </row>
    <row r="45" spans="1:14" x14ac:dyDescent="0.2">
      <c r="B45" t="s">
        <v>20</v>
      </c>
    </row>
    <row r="46" spans="1:14" x14ac:dyDescent="0.2">
      <c r="B46" t="s">
        <v>20</v>
      </c>
    </row>
    <row r="47" spans="1:14" x14ac:dyDescent="0.2">
      <c r="B47" t="s">
        <v>20</v>
      </c>
    </row>
    <row r="48" spans="1:14" x14ac:dyDescent="0.2">
      <c r="B48" t="s">
        <v>20</v>
      </c>
    </row>
    <row r="49" spans="2:2" x14ac:dyDescent="0.2">
      <c r="B49" t="s">
        <v>20</v>
      </c>
    </row>
    <row r="50" spans="2:2" x14ac:dyDescent="0.2">
      <c r="B50" t="s">
        <v>20</v>
      </c>
    </row>
    <row r="51" spans="2:2" x14ac:dyDescent="0.2">
      <c r="B51" t="s">
        <v>20</v>
      </c>
    </row>
    <row r="52" spans="2:2" x14ac:dyDescent="0.2">
      <c r="B52" t="s">
        <v>20</v>
      </c>
    </row>
    <row r="53" spans="2:2" x14ac:dyDescent="0.2">
      <c r="B53" t="s">
        <v>20</v>
      </c>
    </row>
    <row r="54" spans="2:2" x14ac:dyDescent="0.2">
      <c r="B54" t="s">
        <v>20</v>
      </c>
    </row>
    <row r="55" spans="2:2" x14ac:dyDescent="0.2">
      <c r="B55" t="s">
        <v>20</v>
      </c>
    </row>
    <row r="56" spans="2:2" x14ac:dyDescent="0.2">
      <c r="B56" t="s">
        <v>20</v>
      </c>
    </row>
    <row r="57" spans="2:2" x14ac:dyDescent="0.2">
      <c r="B57" t="s">
        <v>20</v>
      </c>
    </row>
    <row r="58" spans="2:2" x14ac:dyDescent="0.2">
      <c r="B58" t="s">
        <v>20</v>
      </c>
    </row>
    <row r="59" spans="2:2" x14ac:dyDescent="0.2">
      <c r="B59" t="s">
        <v>20</v>
      </c>
    </row>
    <row r="60" spans="2:2" x14ac:dyDescent="0.2">
      <c r="B60" t="s">
        <v>20</v>
      </c>
    </row>
    <row r="61" spans="2:2" x14ac:dyDescent="0.2">
      <c r="B61" t="s">
        <v>20</v>
      </c>
    </row>
  </sheetData>
  <mergeCells count="6">
    <mergeCell ref="A1:O2"/>
    <mergeCell ref="A3:A4"/>
    <mergeCell ref="D3:H3"/>
    <mergeCell ref="I3:M3"/>
    <mergeCell ref="N3:N4"/>
    <mergeCell ref="O3:O4"/>
  </mergeCells>
  <conditionalFormatting sqref="D5:D18 I5:I32 M5:M32 J19:L19 D20:D32">
    <cfRule type="cellIs" dxfId="2" priority="1" stopIfTrue="1" operator="greaterThan">
      <formula>0</formula>
    </cfRule>
  </conditionalFormatting>
  <printOptions horizontalCentered="1" verticalCentered="1"/>
  <pageMargins left="0.17986111111111111" right="0.17986111111111111" top="0.98402777777777772" bottom="0.98402777777777772" header="0.51180555555555551" footer="0.51180555555555551"/>
  <pageSetup paperSize="9" firstPageNumber="0" orientation="landscape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CA04E-74A2-4D2C-B524-B9AC9A7BB536}">
  <sheetPr codeName="Feuil5">
    <pageSetUpPr fitToPage="1"/>
  </sheetPr>
  <dimension ref="A1:BB10"/>
  <sheetViews>
    <sheetView zoomScale="85" zoomScaleNormal="100" workbookViewId="0"/>
  </sheetViews>
  <sheetFormatPr defaultRowHeight="12.75" x14ac:dyDescent="0.2"/>
  <cols>
    <col min="1" max="1" width="13.42578125" bestFit="1" customWidth="1"/>
    <col min="2" max="2" width="14.140625" bestFit="1" customWidth="1"/>
    <col min="3" max="3" width="15.5703125" bestFit="1" customWidth="1"/>
    <col min="4" max="4" width="17.28515625" bestFit="1" customWidth="1"/>
    <col min="5" max="5" width="7.5703125" bestFit="1" customWidth="1"/>
    <col min="6" max="6" width="9.28515625" bestFit="1" customWidth="1"/>
    <col min="7" max="7" width="12" bestFit="1" customWidth="1"/>
    <col min="8" max="8" width="13" bestFit="1" customWidth="1"/>
    <col min="9" max="9" width="11.28515625" bestFit="1" customWidth="1"/>
    <col min="10" max="10" width="7.85546875" bestFit="1" customWidth="1"/>
    <col min="11" max="11" width="7.7109375" bestFit="1" customWidth="1"/>
    <col min="12" max="12" width="8.42578125" bestFit="1" customWidth="1"/>
    <col min="13" max="13" width="17.28515625" bestFit="1" customWidth="1"/>
    <col min="14" max="14" width="9.5703125" bestFit="1" customWidth="1"/>
    <col min="15" max="15" width="7.85546875" bestFit="1" customWidth="1"/>
    <col min="16" max="16" width="7.5703125" bestFit="1" customWidth="1"/>
    <col min="17" max="17" width="7.42578125" bestFit="1" customWidth="1"/>
    <col min="18" max="18" width="13" bestFit="1" customWidth="1"/>
    <col min="19" max="20" width="12.7109375" bestFit="1" customWidth="1"/>
    <col min="21" max="21" width="10" bestFit="1" customWidth="1"/>
    <col min="22" max="22" width="17.28515625" bestFit="1" customWidth="1"/>
    <col min="23" max="24" width="8.42578125" bestFit="1" customWidth="1"/>
    <col min="25" max="25" width="7.28515625" bestFit="1" customWidth="1"/>
    <col min="26" max="26" width="6.42578125" bestFit="1" customWidth="1"/>
    <col min="27" max="27" width="7.5703125" bestFit="1" customWidth="1"/>
    <col min="28" max="28" width="9.28515625" bestFit="1" customWidth="1"/>
    <col min="29" max="29" width="7.42578125" bestFit="1" customWidth="1"/>
    <col min="30" max="30" width="6.85546875" bestFit="1" customWidth="1"/>
    <col min="31" max="31" width="7.85546875" bestFit="1" customWidth="1"/>
    <col min="32" max="32" width="10.140625" bestFit="1" customWidth="1"/>
    <col min="33" max="33" width="9.42578125" bestFit="1" customWidth="1"/>
    <col min="34" max="34" width="9" bestFit="1" customWidth="1"/>
    <col min="35" max="35" width="8" bestFit="1" customWidth="1"/>
    <col min="36" max="36" width="8.85546875" bestFit="1" customWidth="1"/>
    <col min="37" max="37" width="7.7109375" bestFit="1" customWidth="1"/>
    <col min="38" max="38" width="8.85546875" bestFit="1" customWidth="1"/>
    <col min="39" max="41" width="9" bestFit="1" customWidth="1"/>
    <col min="42" max="42" width="8.85546875" bestFit="1" customWidth="1"/>
    <col min="43" max="44" width="9" bestFit="1" customWidth="1"/>
    <col min="45" max="45" width="8.42578125" bestFit="1" customWidth="1"/>
    <col min="46" max="46" width="7.5703125" bestFit="1" customWidth="1"/>
    <col min="47" max="47" width="9.42578125" bestFit="1" customWidth="1"/>
    <col min="48" max="48" width="10" bestFit="1" customWidth="1"/>
    <col min="49" max="49" width="10.5703125" bestFit="1" customWidth="1"/>
    <col min="50" max="51" width="8.42578125" bestFit="1" customWidth="1"/>
    <col min="52" max="52" width="8" bestFit="1" customWidth="1"/>
    <col min="53" max="53" width="16.140625" bestFit="1" customWidth="1"/>
    <col min="54" max="54" width="15.5703125" bestFit="1" customWidth="1"/>
    <col min="55" max="256" width="9.140625" bestFit="1" customWidth="1"/>
  </cols>
  <sheetData>
    <row r="1" spans="1:54" ht="12.75" customHeight="1" x14ac:dyDescent="0.2">
      <c r="A1" s="352" t="s">
        <v>415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340"/>
      <c r="S1" s="340"/>
      <c r="T1" s="340"/>
      <c r="U1" s="340"/>
      <c r="V1" s="340"/>
      <c r="W1" s="340"/>
      <c r="X1" s="340"/>
      <c r="Y1" s="340"/>
      <c r="Z1" s="340"/>
      <c r="AA1" s="340"/>
      <c r="AB1" s="340"/>
      <c r="AC1" s="340"/>
      <c r="AD1" s="339"/>
      <c r="AE1" s="339"/>
      <c r="AF1" s="339"/>
      <c r="AG1" s="339"/>
      <c r="AH1" s="339"/>
      <c r="AI1" s="339"/>
      <c r="AJ1" s="339"/>
      <c r="AK1" s="339"/>
      <c r="AL1" s="339"/>
      <c r="AM1" s="339"/>
      <c r="AN1" s="339"/>
      <c r="AO1" s="339"/>
      <c r="AP1" s="339"/>
      <c r="AQ1" s="339"/>
      <c r="AR1" s="339"/>
      <c r="AS1" s="339"/>
      <c r="AT1" s="339"/>
      <c r="AU1" s="339"/>
      <c r="AV1" s="339"/>
      <c r="AW1" s="339"/>
    </row>
    <row r="2" spans="1:54" ht="12.75" customHeight="1" x14ac:dyDescent="0.2">
      <c r="A2" s="340"/>
      <c r="B2" s="340"/>
      <c r="C2" s="340"/>
      <c r="D2" s="340"/>
      <c r="E2" s="340"/>
      <c r="F2" s="340"/>
      <c r="G2" s="340"/>
      <c r="H2" s="340"/>
      <c r="I2" s="340"/>
      <c r="J2" s="340"/>
      <c r="K2" s="340"/>
      <c r="L2" s="340"/>
      <c r="M2" s="340"/>
      <c r="N2" s="340"/>
      <c r="O2" s="340"/>
      <c r="P2" s="340"/>
      <c r="Q2" s="340"/>
      <c r="R2" s="340"/>
      <c r="S2" s="340"/>
      <c r="T2" s="340"/>
      <c r="U2" s="340"/>
      <c r="V2" s="340"/>
      <c r="W2" s="340"/>
      <c r="X2" s="340"/>
      <c r="Y2" s="340"/>
      <c r="Z2" s="340"/>
      <c r="AA2" s="340"/>
      <c r="AB2" s="340"/>
      <c r="AC2" s="340"/>
      <c r="AD2" s="339"/>
      <c r="AE2" s="339"/>
      <c r="AF2" s="339"/>
      <c r="AG2" s="339"/>
      <c r="AH2" s="339"/>
      <c r="AI2" s="339"/>
      <c r="AJ2" s="339"/>
      <c r="AK2" s="339"/>
      <c r="AL2" s="339"/>
      <c r="AM2" s="339"/>
      <c r="AN2" s="339"/>
      <c r="AO2" s="339"/>
      <c r="AP2" s="339"/>
      <c r="AQ2" s="339"/>
      <c r="AR2" s="339"/>
      <c r="AS2" s="339"/>
      <c r="AT2" s="339"/>
      <c r="AU2" s="339"/>
      <c r="AV2" s="339"/>
      <c r="AW2" s="339"/>
    </row>
    <row r="3" spans="1:54" ht="20.25" customHeight="1" x14ac:dyDescent="0.2">
      <c r="A3" s="344" t="s">
        <v>5</v>
      </c>
      <c r="B3" s="367" t="s">
        <v>416</v>
      </c>
      <c r="C3" s="367"/>
      <c r="D3" s="367"/>
      <c r="E3" s="345" t="s">
        <v>207</v>
      </c>
      <c r="F3" s="345"/>
      <c r="G3" s="345"/>
      <c r="H3" s="345"/>
      <c r="I3" s="345"/>
      <c r="J3" s="345"/>
      <c r="K3" s="345"/>
      <c r="L3" s="345"/>
      <c r="M3" s="345"/>
      <c r="N3" s="353" t="s">
        <v>58</v>
      </c>
      <c r="O3" s="353"/>
      <c r="P3" s="353"/>
      <c r="Q3" s="353"/>
      <c r="R3" s="353"/>
      <c r="S3" s="353"/>
      <c r="T3" s="353"/>
      <c r="U3" s="353"/>
      <c r="V3" s="353"/>
      <c r="W3" s="368" t="s">
        <v>417</v>
      </c>
      <c r="X3" s="369"/>
      <c r="Y3" s="369"/>
      <c r="Z3" s="369"/>
      <c r="AA3" s="369"/>
      <c r="AB3" s="369"/>
      <c r="AC3" s="369"/>
      <c r="AD3" s="369"/>
      <c r="AE3" s="369"/>
      <c r="AF3" s="369"/>
      <c r="AG3" s="369"/>
      <c r="AH3" s="369"/>
      <c r="AI3" s="369"/>
      <c r="AJ3" s="369"/>
      <c r="AK3" s="369"/>
      <c r="AL3" s="369"/>
      <c r="AM3" s="369"/>
      <c r="AN3" s="369"/>
      <c r="AO3" s="369"/>
      <c r="AP3" s="369"/>
      <c r="AQ3" s="369"/>
      <c r="AR3" s="369"/>
      <c r="AS3" s="369"/>
      <c r="AT3" s="369"/>
      <c r="AU3" s="369"/>
      <c r="AV3" s="369"/>
      <c r="AW3" s="369"/>
      <c r="AX3" s="369"/>
      <c r="AY3" s="369"/>
      <c r="AZ3" s="369"/>
      <c r="BA3" s="369"/>
      <c r="BB3" s="369"/>
    </row>
    <row r="4" spans="1:54" ht="17.25" customHeight="1" x14ac:dyDescent="0.2">
      <c r="A4" s="344"/>
      <c r="B4" s="367"/>
      <c r="C4" s="367"/>
      <c r="D4" s="367"/>
      <c r="E4" s="345"/>
      <c r="F4" s="345"/>
      <c r="G4" s="345"/>
      <c r="H4" s="345"/>
      <c r="I4" s="345"/>
      <c r="J4" s="345"/>
      <c r="K4" s="345"/>
      <c r="L4" s="345"/>
      <c r="M4" s="345"/>
      <c r="N4" s="353"/>
      <c r="O4" s="353"/>
      <c r="P4" s="353"/>
      <c r="Q4" s="353"/>
      <c r="R4" s="353"/>
      <c r="S4" s="353"/>
      <c r="T4" s="353"/>
      <c r="U4" s="353"/>
      <c r="V4" s="353"/>
      <c r="W4" s="364" t="s">
        <v>5</v>
      </c>
      <c r="X4" s="364"/>
      <c r="Y4" s="364"/>
      <c r="Z4" s="364"/>
      <c r="AA4" s="364"/>
      <c r="AB4" s="364" t="s">
        <v>323</v>
      </c>
      <c r="AC4" s="364"/>
      <c r="AD4" s="364"/>
      <c r="AE4" s="364"/>
      <c r="AF4" s="364"/>
      <c r="AG4" s="364" t="s">
        <v>418</v>
      </c>
      <c r="AH4" s="364"/>
      <c r="AI4" s="364"/>
      <c r="AJ4" s="364"/>
      <c r="AK4" s="364"/>
      <c r="AL4" s="364" t="s">
        <v>419</v>
      </c>
      <c r="AM4" s="364"/>
      <c r="AN4" s="364"/>
      <c r="AO4" s="364"/>
      <c r="AP4" s="364"/>
      <c r="AQ4" s="366" t="s">
        <v>234</v>
      </c>
      <c r="AR4" s="366"/>
      <c r="AS4" s="366"/>
      <c r="AT4" s="366"/>
      <c r="AU4" s="366"/>
      <c r="AV4" s="366" t="s">
        <v>420</v>
      </c>
      <c r="AW4" s="366"/>
      <c r="AX4" s="366"/>
      <c r="AY4" s="366"/>
      <c r="AZ4" s="366"/>
      <c r="BA4" s="364" t="s">
        <v>421</v>
      </c>
      <c r="BB4" s="365" t="s">
        <v>422</v>
      </c>
    </row>
    <row r="5" spans="1:54" ht="56.25" x14ac:dyDescent="0.2">
      <c r="A5" s="344"/>
      <c r="B5" s="85" t="s">
        <v>423</v>
      </c>
      <c r="C5" s="85" t="s">
        <v>424</v>
      </c>
      <c r="D5" s="47" t="s">
        <v>422</v>
      </c>
      <c r="E5" s="86" t="s">
        <v>62</v>
      </c>
      <c r="F5" s="87" t="s">
        <v>425</v>
      </c>
      <c r="G5" s="87" t="s">
        <v>426</v>
      </c>
      <c r="H5" s="87" t="s">
        <v>427</v>
      </c>
      <c r="I5" s="87" t="s">
        <v>428</v>
      </c>
      <c r="J5" s="87" t="s">
        <v>429</v>
      </c>
      <c r="K5" s="87" t="s">
        <v>430</v>
      </c>
      <c r="L5" s="87" t="s">
        <v>431</v>
      </c>
      <c r="M5" s="84" t="s">
        <v>422</v>
      </c>
      <c r="N5" s="88" t="s">
        <v>432</v>
      </c>
      <c r="O5" s="89" t="s">
        <v>433</v>
      </c>
      <c r="P5" s="89" t="s">
        <v>434</v>
      </c>
      <c r="Q5" s="89" t="s">
        <v>435</v>
      </c>
      <c r="R5" s="89" t="s">
        <v>436</v>
      </c>
      <c r="S5" s="89" t="s">
        <v>437</v>
      </c>
      <c r="T5" s="89" t="s">
        <v>438</v>
      </c>
      <c r="U5" s="89" t="s">
        <v>431</v>
      </c>
      <c r="V5" s="106" t="s">
        <v>422</v>
      </c>
      <c r="W5" s="107" t="s">
        <v>439</v>
      </c>
      <c r="X5" s="108" t="s">
        <v>440</v>
      </c>
      <c r="Y5" s="108" t="s">
        <v>441</v>
      </c>
      <c r="Z5" s="108" t="s">
        <v>442</v>
      </c>
      <c r="AA5" s="110" t="s">
        <v>443</v>
      </c>
      <c r="AB5" s="107" t="s">
        <v>439</v>
      </c>
      <c r="AC5" s="108" t="s">
        <v>440</v>
      </c>
      <c r="AD5" s="108" t="s">
        <v>441</v>
      </c>
      <c r="AE5" s="108" t="s">
        <v>442</v>
      </c>
      <c r="AF5" s="110" t="s">
        <v>443</v>
      </c>
      <c r="AG5" s="107" t="s">
        <v>439</v>
      </c>
      <c r="AH5" s="108" t="s">
        <v>440</v>
      </c>
      <c r="AI5" s="108" t="s">
        <v>441</v>
      </c>
      <c r="AJ5" s="108" t="s">
        <v>442</v>
      </c>
      <c r="AK5" s="110" t="s">
        <v>443</v>
      </c>
      <c r="AL5" s="107" t="s">
        <v>439</v>
      </c>
      <c r="AM5" s="108" t="s">
        <v>440</v>
      </c>
      <c r="AN5" s="108" t="s">
        <v>441</v>
      </c>
      <c r="AO5" s="108" t="s">
        <v>442</v>
      </c>
      <c r="AP5" s="110" t="s">
        <v>443</v>
      </c>
      <c r="AQ5" s="107" t="s">
        <v>439</v>
      </c>
      <c r="AR5" s="108" t="s">
        <v>440</v>
      </c>
      <c r="AS5" s="108" t="s">
        <v>441</v>
      </c>
      <c r="AT5" s="108" t="s">
        <v>442</v>
      </c>
      <c r="AU5" s="109" t="s">
        <v>443</v>
      </c>
      <c r="AV5" s="111" t="s">
        <v>439</v>
      </c>
      <c r="AW5" s="104" t="s">
        <v>440</v>
      </c>
      <c r="AX5" s="105" t="s">
        <v>441</v>
      </c>
      <c r="AY5" s="105" t="s">
        <v>442</v>
      </c>
      <c r="AZ5" s="105" t="s">
        <v>443</v>
      </c>
      <c r="BA5" s="364"/>
      <c r="BB5" s="365"/>
    </row>
    <row r="6" spans="1:54" x14ac:dyDescent="0.2">
      <c r="A6" s="266"/>
      <c r="B6">
        <v>0</v>
      </c>
      <c r="C6">
        <v>0</v>
      </c>
      <c r="D6" s="290"/>
      <c r="E6">
        <v>42305</v>
      </c>
      <c r="F6">
        <v>0</v>
      </c>
      <c r="G6">
        <v>28653</v>
      </c>
      <c r="H6">
        <v>0</v>
      </c>
      <c r="I6">
        <v>0</v>
      </c>
      <c r="J6">
        <v>13862</v>
      </c>
      <c r="K6">
        <v>0</v>
      </c>
      <c r="L6">
        <v>43446</v>
      </c>
      <c r="M6" s="290"/>
      <c r="N6">
        <v>0</v>
      </c>
      <c r="O6">
        <v>7222</v>
      </c>
      <c r="P6" s="267">
        <v>0</v>
      </c>
      <c r="Q6">
        <v>0</v>
      </c>
      <c r="R6">
        <v>3591</v>
      </c>
      <c r="S6">
        <v>929</v>
      </c>
      <c r="T6">
        <v>0</v>
      </c>
      <c r="U6" s="267">
        <v>0</v>
      </c>
      <c r="V6" s="290"/>
      <c r="W6">
        <v>2665</v>
      </c>
      <c r="X6" s="269">
        <v>0</v>
      </c>
      <c r="Y6">
        <v>1087</v>
      </c>
      <c r="Z6" s="269">
        <v>0</v>
      </c>
      <c r="AA6" s="270">
        <v>0</v>
      </c>
      <c r="AB6">
        <v>16</v>
      </c>
      <c r="AC6" s="269">
        <v>0</v>
      </c>
      <c r="AD6" s="269">
        <v>0</v>
      </c>
      <c r="AE6" s="269">
        <v>0</v>
      </c>
      <c r="AF6" s="270">
        <v>0</v>
      </c>
      <c r="AG6">
        <v>0</v>
      </c>
      <c r="AH6" s="269">
        <v>0</v>
      </c>
      <c r="AI6" s="269">
        <v>0</v>
      </c>
      <c r="AJ6" s="269">
        <v>0</v>
      </c>
      <c r="AK6" s="270">
        <v>0</v>
      </c>
      <c r="AL6">
        <v>0</v>
      </c>
      <c r="AM6" s="269">
        <v>0</v>
      </c>
      <c r="AN6" s="269">
        <v>0</v>
      </c>
      <c r="AO6" s="269">
        <v>0</v>
      </c>
      <c r="AP6" s="270">
        <v>0</v>
      </c>
      <c r="AQ6">
        <v>40</v>
      </c>
      <c r="AR6" s="269">
        <v>0</v>
      </c>
      <c r="AS6" s="269">
        <v>0</v>
      </c>
      <c r="AT6">
        <v>24</v>
      </c>
      <c r="AU6" s="270">
        <v>0</v>
      </c>
      <c r="AV6">
        <v>0</v>
      </c>
      <c r="AW6" s="271">
        <v>0</v>
      </c>
      <c r="AX6" s="272">
        <v>0</v>
      </c>
      <c r="AY6" s="269">
        <v>0</v>
      </c>
      <c r="AZ6" s="270">
        <v>0</v>
      </c>
      <c r="BA6" s="273">
        <v>0</v>
      </c>
      <c r="BB6" s="91"/>
    </row>
    <row r="7" spans="1:54" x14ac:dyDescent="0.2">
      <c r="A7" s="274"/>
      <c r="B7" s="275"/>
      <c r="C7" s="275"/>
      <c r="D7" s="291"/>
      <c r="E7" s="275"/>
      <c r="F7" s="276"/>
      <c r="G7" s="276"/>
      <c r="H7" s="276"/>
      <c r="I7" s="276"/>
      <c r="J7" s="276"/>
      <c r="K7" s="276"/>
      <c r="L7" s="276"/>
      <c r="M7" s="291"/>
      <c r="N7" s="277"/>
      <c r="O7" s="276"/>
      <c r="P7" s="276"/>
      <c r="Q7" s="276"/>
      <c r="R7" s="276"/>
      <c r="S7" s="276"/>
      <c r="T7" s="276"/>
      <c r="U7" s="276"/>
      <c r="V7" s="291"/>
      <c r="W7" s="268"/>
      <c r="X7" s="269"/>
      <c r="Y7" s="269"/>
      <c r="Z7" s="269"/>
      <c r="AA7" s="270"/>
      <c r="AB7" s="268"/>
      <c r="AC7" s="269"/>
      <c r="AD7" s="269"/>
      <c r="AE7" s="269"/>
      <c r="AF7" s="270"/>
      <c r="AG7" s="268"/>
      <c r="AH7" s="269"/>
      <c r="AI7" s="269"/>
      <c r="AJ7" s="269"/>
      <c r="AK7" s="270"/>
      <c r="AL7" s="268"/>
      <c r="AM7" s="269"/>
      <c r="AN7" s="269"/>
      <c r="AO7" s="269"/>
      <c r="AP7" s="270"/>
      <c r="AQ7" s="268"/>
      <c r="AR7" s="269"/>
      <c r="AS7" s="269"/>
      <c r="AT7" s="269"/>
      <c r="AU7" s="270"/>
      <c r="AV7" s="276"/>
      <c r="AW7" s="278"/>
      <c r="AX7" s="272"/>
      <c r="AY7" s="269"/>
      <c r="AZ7" s="270"/>
      <c r="BA7" s="270"/>
      <c r="BB7" s="90"/>
    </row>
    <row r="8" spans="1:54" x14ac:dyDescent="0.2">
      <c r="A8" s="274"/>
      <c r="B8" s="275"/>
      <c r="C8" s="275"/>
      <c r="D8" s="291"/>
      <c r="E8" s="275"/>
      <c r="F8" s="276"/>
      <c r="G8" s="276"/>
      <c r="H8" s="276"/>
      <c r="I8" s="276"/>
      <c r="J8" s="276"/>
      <c r="K8" s="276"/>
      <c r="L8" s="276"/>
      <c r="M8" s="291"/>
      <c r="N8" s="277"/>
      <c r="O8" s="276"/>
      <c r="P8" s="276"/>
      <c r="Q8" s="276"/>
      <c r="R8" s="276"/>
      <c r="S8" s="276"/>
      <c r="T8" s="276"/>
      <c r="U8" s="276"/>
      <c r="V8" s="291"/>
      <c r="W8" s="268"/>
      <c r="X8" s="269"/>
      <c r="Y8" s="269"/>
      <c r="Z8" s="269"/>
      <c r="AA8" s="270"/>
      <c r="AB8" s="268"/>
      <c r="AC8" s="269"/>
      <c r="AD8" s="269"/>
      <c r="AE8" s="269"/>
      <c r="AF8" s="270"/>
      <c r="AG8" s="268"/>
      <c r="AH8" s="269"/>
      <c r="AI8" s="269"/>
      <c r="AJ8" s="269"/>
      <c r="AK8" s="270"/>
      <c r="AL8" s="268"/>
      <c r="AM8" s="269"/>
      <c r="AN8" s="269"/>
      <c r="AO8" s="269"/>
      <c r="AP8" s="270"/>
      <c r="AQ8" s="268"/>
      <c r="AR8" s="269"/>
      <c r="AS8" s="269"/>
      <c r="AT8" s="269"/>
      <c r="AU8" s="270"/>
      <c r="AV8" s="276"/>
      <c r="AW8" s="278"/>
      <c r="AX8" s="272"/>
      <c r="AY8" s="269"/>
      <c r="AZ8" s="270"/>
      <c r="BA8" s="270"/>
      <c r="BB8" s="90"/>
    </row>
    <row r="9" spans="1:54" x14ac:dyDescent="0.2">
      <c r="A9" s="279"/>
      <c r="B9" s="280"/>
      <c r="C9" s="280"/>
      <c r="D9" s="292"/>
      <c r="E9" s="280"/>
      <c r="F9" s="281"/>
      <c r="G9" s="281"/>
      <c r="H9" s="281"/>
      <c r="I9" s="281"/>
      <c r="J9" s="281"/>
      <c r="K9" s="281"/>
      <c r="L9" s="281"/>
      <c r="M9" s="292"/>
      <c r="N9" s="282"/>
      <c r="O9" s="281"/>
      <c r="P9" s="281"/>
      <c r="Q9" s="281"/>
      <c r="R9" s="281"/>
      <c r="S9" s="281"/>
      <c r="T9" s="281"/>
      <c r="U9" s="281"/>
      <c r="V9" s="292"/>
      <c r="W9" s="283"/>
      <c r="X9" s="284"/>
      <c r="Y9" s="284"/>
      <c r="Z9" s="284"/>
      <c r="AA9" s="285"/>
      <c r="AB9" s="283"/>
      <c r="AC9" s="284"/>
      <c r="AD9" s="284"/>
      <c r="AE9" s="284"/>
      <c r="AF9" s="285"/>
      <c r="AG9" s="283"/>
      <c r="AH9" s="284"/>
      <c r="AI9" s="284"/>
      <c r="AJ9" s="284"/>
      <c r="AK9" s="285"/>
      <c r="AL9" s="283"/>
      <c r="AM9" s="284"/>
      <c r="AN9" s="284"/>
      <c r="AO9" s="284"/>
      <c r="AP9" s="285"/>
      <c r="AQ9" s="283"/>
      <c r="AR9" s="284"/>
      <c r="AS9" s="284"/>
      <c r="AT9" s="284"/>
      <c r="AU9" s="285"/>
      <c r="AV9" s="281"/>
      <c r="AW9" s="286"/>
      <c r="AX9" s="287"/>
      <c r="AY9" s="288"/>
      <c r="AZ9" s="289"/>
      <c r="BA9" s="289"/>
      <c r="BB9" s="92"/>
    </row>
    <row r="10" spans="1:54" ht="15.75" x14ac:dyDescent="0.25">
      <c r="A10" s="93" t="s">
        <v>33</v>
      </c>
      <c r="B10" s="62">
        <f>SUM(B6:B9)</f>
        <v>0</v>
      </c>
      <c r="C10" s="62">
        <f>SUM(C6:C9)</f>
        <v>0</v>
      </c>
      <c r="D10" s="70"/>
      <c r="E10" s="62">
        <f>SUM($E$6:$E$9)</f>
        <v>42305</v>
      </c>
      <c r="F10" s="62">
        <f>SUM($F$6:$F$9)</f>
        <v>0</v>
      </c>
      <c r="G10" s="62">
        <f>SUM($G$6:$G$9)</f>
        <v>28653</v>
      </c>
      <c r="H10" s="62">
        <f>SUM($H$6:$H$9)</f>
        <v>0</v>
      </c>
      <c r="I10" s="62">
        <f>SUM($I$6:$I$9)</f>
        <v>0</v>
      </c>
      <c r="J10" s="62">
        <f>SUM($J$6:$J$9)</f>
        <v>13862</v>
      </c>
      <c r="K10" s="62">
        <f>SUM($K$6:$K$9)</f>
        <v>0</v>
      </c>
      <c r="L10" s="62">
        <f>SUM($L$6:$L$9)</f>
        <v>43446</v>
      </c>
      <c r="M10" s="70"/>
      <c r="N10" s="62">
        <f>SUM($N$6:$N$9)</f>
        <v>0</v>
      </c>
      <c r="O10" s="62">
        <f>SUM($O$6:$O$9)</f>
        <v>7222</v>
      </c>
      <c r="P10" s="62">
        <f>SUM($P$6:$P$9)</f>
        <v>0</v>
      </c>
      <c r="Q10" s="62">
        <f>SUM($Q$6:$Q$9)</f>
        <v>0</v>
      </c>
      <c r="R10" s="62">
        <f>SUM($R$6:$R$9)</f>
        <v>3591</v>
      </c>
      <c r="S10" s="62">
        <f>SUM($S$6:$S$9)</f>
        <v>929</v>
      </c>
      <c r="T10" s="62">
        <f>SUM($T$6:$T$9)</f>
        <v>0</v>
      </c>
      <c r="U10" s="62">
        <f>SUM($U$6:$U$9)</f>
        <v>0</v>
      </c>
      <c r="V10" s="70"/>
      <c r="W10" s="62">
        <f>SUM($W$6:$W$9)</f>
        <v>2665</v>
      </c>
      <c r="X10" s="62">
        <f>SUM($X$6:$X$9)</f>
        <v>0</v>
      </c>
      <c r="Y10" s="62">
        <f>SUM($Y$6:$Y$9)</f>
        <v>1087</v>
      </c>
      <c r="Z10" s="62">
        <f>SUM($Z$6:$Z$9)</f>
        <v>0</v>
      </c>
      <c r="AA10" s="62">
        <f>SUM($AA$6:$AA$9)</f>
        <v>0</v>
      </c>
      <c r="AB10" s="62">
        <f>SUM($AB$6:$AB$9)</f>
        <v>16</v>
      </c>
      <c r="AC10" s="62">
        <f>SUM($AC$6:$AC$9)</f>
        <v>0</v>
      </c>
      <c r="AD10" s="62">
        <f>SUM($AD$6:$AD$9)</f>
        <v>0</v>
      </c>
      <c r="AE10" s="62">
        <f>SUM($AE$6:$AE$9)</f>
        <v>0</v>
      </c>
      <c r="AF10" s="62">
        <f>SUM($AF$6:$AF$9)</f>
        <v>0</v>
      </c>
      <c r="AG10" s="62">
        <f>SUM($AG$6:$AG$9)</f>
        <v>0</v>
      </c>
      <c r="AH10" s="62">
        <f>SUM($AH$6:$AH$9)</f>
        <v>0</v>
      </c>
      <c r="AI10" s="62">
        <f>SUM($AI$6:$AI$9)</f>
        <v>0</v>
      </c>
      <c r="AJ10" s="62">
        <f>SUM($AJ$6:$AJ$9)</f>
        <v>0</v>
      </c>
      <c r="AK10" s="62">
        <f>SUM($AK$6:$AK$9)</f>
        <v>0</v>
      </c>
      <c r="AL10" s="62">
        <f>SUM($AL$6:$AL$9)</f>
        <v>0</v>
      </c>
      <c r="AM10" s="62">
        <f>SUM($AM$6:$AM$9)</f>
        <v>0</v>
      </c>
      <c r="AN10" s="62">
        <f>SUM($AN$6:$AN$9)</f>
        <v>0</v>
      </c>
      <c r="AO10" s="62">
        <f>SUM($AO$6:$AO$9)</f>
        <v>0</v>
      </c>
      <c r="AP10" s="62">
        <f>SUM($AP$6:$AP$9)</f>
        <v>0</v>
      </c>
      <c r="AQ10" s="62">
        <f>SUM($AQ$6:$AQ$9)</f>
        <v>40</v>
      </c>
      <c r="AR10" s="62">
        <f>SUM($AR$6:$AR$9)</f>
        <v>0</v>
      </c>
      <c r="AS10" s="62">
        <f>SUM($AS$6:$AS$9)</f>
        <v>0</v>
      </c>
      <c r="AT10" s="62">
        <f>SUM($AT$6:$AT$9)</f>
        <v>24</v>
      </c>
      <c r="AU10" s="62">
        <f>SUM($AU$6:$AU$9)</f>
        <v>0</v>
      </c>
      <c r="AV10" s="62">
        <f>SUM($AV$6:$AV$9)</f>
        <v>0</v>
      </c>
      <c r="AW10" s="62">
        <f>SUM($AW$6:$AW$9)</f>
        <v>0</v>
      </c>
      <c r="AX10" s="62">
        <f>SUM($AX$6:$AX$9)</f>
        <v>0</v>
      </c>
      <c r="AY10" s="62">
        <f>SUM($AY$6:$AY$9)</f>
        <v>0</v>
      </c>
      <c r="AZ10" s="62">
        <f>SUM($AZ$6:$AZ$9)</f>
        <v>0</v>
      </c>
      <c r="BA10" s="62">
        <f>SUM($BA$6:$BA$9)</f>
        <v>0</v>
      </c>
      <c r="BB10" s="4"/>
    </row>
  </sheetData>
  <mergeCells count="14">
    <mergeCell ref="BA4:BA5"/>
    <mergeCell ref="BB4:BB5"/>
    <mergeCell ref="AV4:AZ4"/>
    <mergeCell ref="AQ4:AU4"/>
    <mergeCell ref="A1:AW2"/>
    <mergeCell ref="A3:A5"/>
    <mergeCell ref="B3:D4"/>
    <mergeCell ref="E3:M4"/>
    <mergeCell ref="N3:V4"/>
    <mergeCell ref="W4:AA4"/>
    <mergeCell ref="W3:BB3"/>
    <mergeCell ref="AB4:AF4"/>
    <mergeCell ref="AG4:AK4"/>
    <mergeCell ref="AL4:AP4"/>
  </mergeCells>
  <conditionalFormatting sqref="B7:C9 E7:E9 N7:N9 A19:L19 A24:M24 A29:L29 A34:L34 A39:L39">
    <cfRule type="cellIs" dxfId="1" priority="1" stopIfTrue="1" operator="greaterThan">
      <formula>0</formula>
    </cfRule>
  </conditionalFormatting>
  <printOptions horizontalCentered="1" verticalCentered="1"/>
  <pageMargins left="0.17986111111111111" right="0.17986111111111111" top="0.98402777777777772" bottom="0.98402777777777772" header="0.51180555555555551" footer="0.51180555555555551"/>
  <pageSetup paperSize="9" scale="48" firstPageNumber="0" orientation="landscape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057F2-E343-4E47-9364-1FF72AF9BD2D}">
  <sheetPr codeName="Feuil7">
    <pageSetUpPr fitToPage="1"/>
  </sheetPr>
  <dimension ref="A1:P6"/>
  <sheetViews>
    <sheetView zoomScale="85" zoomScaleNormal="100" workbookViewId="0">
      <selection sqref="A1:P2"/>
    </sheetView>
  </sheetViews>
  <sheetFormatPr defaultRowHeight="12.95" customHeight="1" x14ac:dyDescent="0.2"/>
  <cols>
    <col min="1" max="1" width="33.140625" bestFit="1" customWidth="1"/>
    <col min="2" max="2" width="17.85546875" bestFit="1" customWidth="1"/>
    <col min="3" max="3" width="9.140625" bestFit="1" customWidth="1"/>
    <col min="4" max="4" width="29.5703125" bestFit="1" customWidth="1"/>
    <col min="5" max="5" width="0" hidden="1" bestFit="1" customWidth="1"/>
    <col min="6" max="6" width="15.5703125" bestFit="1" customWidth="1"/>
    <col min="7" max="7" width="27.7109375" bestFit="1" customWidth="1"/>
    <col min="8" max="8" width="21.7109375" bestFit="1" customWidth="1"/>
    <col min="9" max="9" width="12.28515625" bestFit="1" customWidth="1"/>
    <col min="10" max="10" width="0" hidden="1" bestFit="1" customWidth="1"/>
    <col min="11" max="11" width="17" bestFit="1" customWidth="1"/>
    <col min="12" max="12" width="13.28515625" bestFit="1" customWidth="1"/>
    <col min="13" max="13" width="15.140625" bestFit="1" customWidth="1"/>
    <col min="14" max="14" width="21.7109375" bestFit="1" customWidth="1"/>
    <col min="15" max="15" width="17" bestFit="1" customWidth="1"/>
    <col min="16" max="16" width="24.140625" bestFit="1" customWidth="1"/>
    <col min="17" max="256" width="9.140625" bestFit="1" customWidth="1"/>
  </cols>
  <sheetData>
    <row r="1" spans="1:16" ht="12.95" customHeight="1" x14ac:dyDescent="0.2">
      <c r="A1" s="340"/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</row>
    <row r="2" spans="1:16" ht="12.95" customHeight="1" x14ac:dyDescent="0.2">
      <c r="A2" s="343"/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</row>
    <row r="3" spans="1:16" ht="20.100000000000001" customHeight="1" x14ac:dyDescent="0.2">
      <c r="A3" s="344" t="s">
        <v>444</v>
      </c>
      <c r="B3" s="44" t="s">
        <v>444</v>
      </c>
      <c r="C3" s="345" t="s">
        <v>207</v>
      </c>
      <c r="D3" s="345"/>
      <c r="E3" s="345"/>
      <c r="F3" s="345"/>
      <c r="G3" s="345"/>
      <c r="H3" s="345"/>
      <c r="I3" s="345" t="s">
        <v>58</v>
      </c>
      <c r="J3" s="345"/>
      <c r="K3" s="345"/>
      <c r="L3" s="345"/>
      <c r="M3" s="345"/>
      <c r="N3" s="345"/>
      <c r="O3" s="346" t="s">
        <v>59</v>
      </c>
      <c r="P3" s="346" t="s">
        <v>60</v>
      </c>
    </row>
    <row r="4" spans="1:16" ht="20.25" customHeight="1" x14ac:dyDescent="0.2">
      <c r="A4" s="344"/>
      <c r="B4" s="46" t="s">
        <v>445</v>
      </c>
      <c r="C4" s="46" t="s">
        <v>16</v>
      </c>
      <c r="D4" s="46" t="s">
        <v>446</v>
      </c>
      <c r="E4" s="46" t="s">
        <v>64</v>
      </c>
      <c r="F4" s="48" t="s">
        <v>65</v>
      </c>
      <c r="G4" s="46" t="s">
        <v>447</v>
      </c>
      <c r="H4" s="47" t="s">
        <v>14</v>
      </c>
      <c r="I4" s="81" t="s">
        <v>16</v>
      </c>
      <c r="J4" s="46" t="s">
        <v>66</v>
      </c>
      <c r="K4" s="46" t="s">
        <v>67</v>
      </c>
      <c r="L4" s="46" t="s">
        <v>448</v>
      </c>
      <c r="M4" s="46" t="s">
        <v>65</v>
      </c>
      <c r="N4" s="47" t="s">
        <v>14</v>
      </c>
      <c r="O4" s="346"/>
      <c r="P4" s="346"/>
    </row>
    <row r="5" spans="1:16" ht="12.95" customHeight="1" x14ac:dyDescent="0.2">
      <c r="A5" s="82" t="s">
        <v>444</v>
      </c>
      <c r="B5" s="293"/>
      <c r="C5" s="294"/>
      <c r="D5" s="295"/>
      <c r="E5" s="295"/>
      <c r="F5" s="296"/>
      <c r="G5" s="295"/>
      <c r="H5" s="298"/>
      <c r="I5" s="237"/>
      <c r="J5" s="295"/>
      <c r="K5" s="295"/>
      <c r="L5" s="295"/>
      <c r="M5" s="297"/>
      <c r="N5" s="299"/>
      <c r="O5" s="295"/>
      <c r="P5" s="238"/>
    </row>
    <row r="6" spans="1:16" ht="15.75" customHeight="1" x14ac:dyDescent="0.25">
      <c r="A6" s="2" t="s">
        <v>33</v>
      </c>
      <c r="B6" s="62">
        <f>SUM($B$5:$B$5)</f>
        <v>0</v>
      </c>
      <c r="C6" s="62">
        <f>SUM($C$5:$C$5)</f>
        <v>0</v>
      </c>
      <c r="D6" s="62">
        <f>SUM($D$5:$D$5)</f>
        <v>0</v>
      </c>
      <c r="E6" s="62">
        <f>SUM($E$5:$E$5)</f>
        <v>0</v>
      </c>
      <c r="F6" s="62">
        <f>SUM($F$5:$F$5)</f>
        <v>0</v>
      </c>
      <c r="G6" s="62">
        <f>SUM($G$5:$G$5)</f>
        <v>0</v>
      </c>
      <c r="I6" s="62">
        <f>SUM(I5:I5)</f>
        <v>0</v>
      </c>
      <c r="J6" s="62">
        <f>SUM(J5:J5)</f>
        <v>0</v>
      </c>
      <c r="K6" s="62">
        <f>SUM(K5:K5)</f>
        <v>0</v>
      </c>
      <c r="L6" s="62">
        <f>SUM(L5:L5)</f>
        <v>0</v>
      </c>
      <c r="M6" s="62">
        <f>SUM(M5:M5)</f>
        <v>0</v>
      </c>
      <c r="O6" s="62">
        <f>SUM(O5:O5)</f>
        <v>0</v>
      </c>
      <c r="P6" s="63"/>
    </row>
  </sheetData>
  <mergeCells count="6">
    <mergeCell ref="A1:P2"/>
    <mergeCell ref="A3:A4"/>
    <mergeCell ref="C3:H3"/>
    <mergeCell ref="I3:N3"/>
    <mergeCell ref="O3:O4"/>
    <mergeCell ref="P3:P4"/>
  </mergeCells>
  <conditionalFormatting sqref="C5 I5 N5">
    <cfRule type="cellIs" dxfId="0" priority="1" stopIfTrue="1" operator="greaterThan">
      <formula>0</formula>
    </cfRule>
  </conditionalFormatting>
  <printOptions horizontalCentered="1" verticalCentered="1"/>
  <pageMargins left="0.17986111111111111" right="0.19027777777777777" top="0.14027777777777778" bottom="9.0277777777777776E-2" header="0.51180555555555551" footer="0.51180555555555551"/>
  <pageSetup paperSize="9" scale="51" firstPageNumber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CRE</vt:lpstr>
      <vt:lpstr>CRE_Marche</vt:lpstr>
      <vt:lpstr>CRE_Financement</vt:lpstr>
      <vt:lpstr>CRE_SousTraitance</vt:lpstr>
      <vt:lpstr>Recap_SGO_In-Out</vt:lpstr>
      <vt:lpstr>CRE_CASA</vt:lpstr>
      <vt:lpstr>CRE_Marche_CASA</vt:lpstr>
      <vt:lpstr>CRE_LCL</vt:lpstr>
      <vt:lpstr>CRE_Marche_LCL</vt:lpstr>
      <vt:lpstr>AMI</vt:lpstr>
      <vt:lpstr>Harmony_CRE_ESI</vt:lpstr>
      <vt:lpstr>AMI!Print_Area</vt:lpstr>
      <vt:lpstr>CRE!Print_Area</vt:lpstr>
      <vt:lpstr>CRE_CASA!Print_Area</vt:lpstr>
      <vt:lpstr>CRE_Financement!Print_Area</vt:lpstr>
      <vt:lpstr>CRE_LCL!Print_Area</vt:lpstr>
      <vt:lpstr>CRE_Marche!Print_Area</vt:lpstr>
      <vt:lpstr>CRE_Marche_CASA!Print_Area</vt:lpstr>
      <vt:lpstr>CRE_Marche_LCL!Print_Area</vt:lpstr>
      <vt:lpstr>CRE_SousTraitance!Print_Area</vt:lpstr>
      <vt:lpstr>Harmony_CRE_ESI!Print_Area</vt:lpstr>
      <vt:lpstr>'Recap_SGO_In-Out'!Print_Area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JOOMUN, Muddathir (CACIB OUTSOURCED STAFF)</dc:creator>
  <cp:lastModifiedBy>JOOMUN, Muddathir (CACIB OUTSOURCED STAFF)</cp:lastModifiedBy>
  <dcterms:created xsi:type="dcterms:W3CDTF">2025-09-10T14:41:30Z</dcterms:created>
  <dcterms:modified xsi:type="dcterms:W3CDTF">2025-09-11T15:07:36Z</dcterms:modified>
</cp:coreProperties>
</file>